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@Giaothong2\"/>
    </mc:Choice>
  </mc:AlternateContent>
  <xr:revisionPtr revIDLastSave="0" documentId="13_ncr:1_{491C02DA-631E-4526-9E55-0AB35EF134D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Phụ Lục 1" sheetId="1" r:id="rId1"/>
    <sheet name="Phụ Lục 2" sheetId="3" state="hidden" r:id="rId2"/>
    <sheet name="Phụ Lục 3" sheetId="2" state="hidden" r:id="rId3"/>
  </sheets>
  <definedNames>
    <definedName name="_xlnm._FilterDatabase" localSheetId="0" hidden="1">'Phụ Lục 1'!$A$1:$N$272</definedName>
    <definedName name="_xlnm.Print_Area" localSheetId="0">'Phụ Lục 1'!$A$1:$N$272</definedName>
    <definedName name="_xlnm.Print_Area" localSheetId="1">'Phụ Lục 2'!$A$1:$K$62</definedName>
    <definedName name="_xlnm.Print_Area" localSheetId="2">'Phụ Lục 3'!$A$1:$I$403</definedName>
    <definedName name="_xlnm.Print_Titles" localSheetId="0">'Phụ Lục 1'!$1:$1</definedName>
    <definedName name="_xlnm.Print_Titles" localSheetId="2">'Phụ Lục 3'!$4:$5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3" i="1" l="1"/>
  <c r="L192" i="1"/>
  <c r="L179" i="1"/>
  <c r="L170" i="1"/>
  <c r="L169" i="1"/>
  <c r="L163" i="1"/>
  <c r="L140" i="1"/>
  <c r="L127" i="1"/>
  <c r="L83" i="1"/>
  <c r="L21" i="1"/>
  <c r="L14" i="1"/>
  <c r="L33" i="1"/>
  <c r="A2" i="2"/>
  <c r="A2" i="3"/>
  <c r="G7" i="2" l="1"/>
  <c r="H7" i="2"/>
  <c r="M44" i="3"/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243" i="1"/>
  <c r="A244" i="1" s="1"/>
  <c r="A245" i="1" s="1"/>
  <c r="A229" i="1"/>
  <c r="A230" i="1" s="1"/>
  <c r="A231" i="1" s="1"/>
  <c r="A225" i="1"/>
  <c r="A226" i="1" s="1"/>
  <c r="H280" i="2" l="1"/>
  <c r="H1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BC bề rộng xe chạy</t>
        </r>
      </text>
    </comment>
  </commentList>
</comments>
</file>

<file path=xl/sharedStrings.xml><?xml version="1.0" encoding="utf-8"?>
<sst xmlns="http://schemas.openxmlformats.org/spreadsheetml/2006/main" count="4119" uniqueCount="1601">
  <si>
    <t>TT</t>
  </si>
  <si>
    <t>Ghi chú</t>
  </si>
  <si>
    <t>Tên đường (quốc lộ, cao tốc,...)</t>
  </si>
  <si>
    <t>Lý trình</t>
  </si>
  <si>
    <t>Tỉnh/thành phố</t>
  </si>
  <si>
    <t>Thông tin hạn chế tải trọng, khổ giới hạn của đường</t>
  </si>
  <si>
    <t>Chiều rộng hạn chế (biển hạn chế chiều ngang xe)</t>
  </si>
  <si>
    <t>Chiều cao hạn chế (biển hạn chế chiều cao)</t>
  </si>
  <si>
    <t>Cầu hạn chế tải trọng, khổ giới hạn</t>
  </si>
  <si>
    <t>Tên cầu</t>
  </si>
  <si>
    <t>Tải trọng thiết kế</t>
  </si>
  <si>
    <t>PHỤ LỤC SỐ 02: CÁC VỊ TRÍ HẠN CHẾ KHỔ GIỚI HẠN TRÊN ĐƯỜNG BỘ</t>
  </si>
  <si>
    <t>ĐT.151</t>
  </si>
  <si>
    <t>Lào Cai</t>
  </si>
  <si>
    <t>ĐT.151B</t>
  </si>
  <si>
    <t>ĐT.151C</t>
  </si>
  <si>
    <t>ĐT.152</t>
  </si>
  <si>
    <t>ĐT.162</t>
  </si>
  <si>
    <t>ĐT.156</t>
  </si>
  <si>
    <t>ĐT.153</t>
  </si>
  <si>
    <t>ĐT.160</t>
  </si>
  <si>
    <t>Km0+988</t>
  </si>
  <si>
    <t>Km7+550</t>
  </si>
  <si>
    <t>Km8+300</t>
  </si>
  <si>
    <t>Km9+500</t>
  </si>
  <si>
    <t>Km2+300</t>
  </si>
  <si>
    <t>Km3+610</t>
  </si>
  <si>
    <t>Km4+020</t>
  </si>
  <si>
    <t>Km17+650</t>
  </si>
  <si>
    <t>Km19+900</t>
  </si>
  <si>
    <t>Km21+550</t>
  </si>
  <si>
    <t>Km24+970</t>
  </si>
  <si>
    <t>Km26+950</t>
  </si>
  <si>
    <t>Km 33+250</t>
  </si>
  <si>
    <t>Km39+550</t>
  </si>
  <si>
    <t>Km41+100</t>
  </si>
  <si>
    <t>Km41+800</t>
  </si>
  <si>
    <t>Km37+150</t>
  </si>
  <si>
    <t>Km129+00</t>
  </si>
  <si>
    <t>Hầm chui cao tốc</t>
  </si>
  <si>
    <t>Cầu đường sắt trên cao</t>
  </si>
  <si>
    <t>Băng tải nhà máy DAP</t>
  </si>
  <si>
    <t>Băng tải nhà máy tuyển</t>
  </si>
  <si>
    <t>Cống chui Đường tỉnh 162</t>
  </si>
  <si>
    <t>Cầu vượt đường sắt</t>
  </si>
  <si>
    <t>Mương thủy lợi</t>
  </si>
  <si>
    <t>Cổng chào xã Bản Liền</t>
  </si>
  <si>
    <t>Km0+072</t>
  </si>
  <si>
    <t>Cầu Phú Bình</t>
  </si>
  <si>
    <t>H30 - XB80</t>
  </si>
  <si>
    <t>Km2+370</t>
  </si>
  <si>
    <t>Cầu Hùng Xuân</t>
  </si>
  <si>
    <t>Km3+720</t>
  </si>
  <si>
    <t>Cầu Suối Cù</t>
  </si>
  <si>
    <t>Km7+270</t>
  </si>
  <si>
    <t>Ngầm Tằng Lỏng</t>
  </si>
  <si>
    <t>Km13+540</t>
  </si>
  <si>
    <t>Cầu Phú Nhuận</t>
  </si>
  <si>
    <t>HL93</t>
  </si>
  <si>
    <t>Km18+10</t>
  </si>
  <si>
    <t>Ngầm Văn Sơn</t>
  </si>
  <si>
    <t>Km21+600</t>
  </si>
  <si>
    <t>Ngầm Võ Lao</t>
  </si>
  <si>
    <t>Km22+625,91</t>
  </si>
  <si>
    <t>Ngầm Võ Lao 2</t>
  </si>
  <si>
    <t>Km30+280</t>
  </si>
  <si>
    <t>Cầu Khe Chấn</t>
  </si>
  <si>
    <t>Km30+915</t>
  </si>
  <si>
    <t>Cầu BTCT</t>
  </si>
  <si>
    <t>Km10+800</t>
  </si>
  <si>
    <t>Hòa Mạc</t>
  </si>
  <si>
    <t>H30-XB80</t>
  </si>
  <si>
    <t>Km23+100</t>
  </si>
  <si>
    <t>Chiềng Ken</t>
  </si>
  <si>
    <t>Km33+200</t>
  </si>
  <si>
    <t>Táu</t>
  </si>
  <si>
    <t>Km40+950</t>
  </si>
  <si>
    <t>Khe Vai</t>
  </si>
  <si>
    <t>Km6+208,43</t>
  </si>
  <si>
    <t>Cầu Bản</t>
  </si>
  <si>
    <t>Km7+075</t>
  </si>
  <si>
    <t>Cầu Suối Nhù</t>
  </si>
  <si>
    <t>Km7+850</t>
  </si>
  <si>
    <t>Km11+449,04</t>
  </si>
  <si>
    <t>Km25+950</t>
  </si>
  <si>
    <t>Ngầm Tràn</t>
  </si>
  <si>
    <t>Km28+293</t>
  </si>
  <si>
    <t>Cầu Tân Thượng</t>
  </si>
  <si>
    <t>Km30+977,83</t>
  </si>
  <si>
    <t>Ba Xã</t>
  </si>
  <si>
    <t>Km31+948</t>
  </si>
  <si>
    <t>Khe Quạt</t>
  </si>
  <si>
    <t>Km33+694</t>
  </si>
  <si>
    <t>Mai Hồng</t>
  </si>
  <si>
    <t>Km36+780,09</t>
  </si>
  <si>
    <t>Km33+730</t>
  </si>
  <si>
    <t>Cầu Thanh Phú</t>
  </si>
  <si>
    <t>Km39+891</t>
  </si>
  <si>
    <t>Km41+425</t>
  </si>
  <si>
    <t>Km58+915</t>
  </si>
  <si>
    <t>Cầu Làng Mường</t>
  </si>
  <si>
    <t>Km60+887</t>
  </si>
  <si>
    <t>Cầu Vượt ĐS</t>
  </si>
  <si>
    <t>ĐT.152B</t>
  </si>
  <si>
    <t>Km54+400</t>
  </si>
  <si>
    <t>Cầu sắt Dương Quỳ</t>
  </si>
  <si>
    <t>Km0+200</t>
  </si>
  <si>
    <t>Cầu Cốc Ly</t>
  </si>
  <si>
    <t>Km21+100</t>
  </si>
  <si>
    <t>Km25+110</t>
  </si>
  <si>
    <t>Km26+450</t>
  </si>
  <si>
    <t>Km26+990</t>
  </si>
  <si>
    <t>Cầu San Sả Hồ</t>
  </si>
  <si>
    <t>Km45+580</t>
  </si>
  <si>
    <t>Cầu Bản Liền</t>
  </si>
  <si>
    <t>Km46+900</t>
  </si>
  <si>
    <t>Cầu Đội 3</t>
  </si>
  <si>
    <t>Km50+080</t>
  </si>
  <si>
    <t>Cầu bản liên hợp</t>
  </si>
  <si>
    <t>ĐT.159</t>
  </si>
  <si>
    <t>Km17+820</t>
  </si>
  <si>
    <t>Km53+500</t>
  </si>
  <si>
    <t>Cầu Làng Giàng</t>
  </si>
  <si>
    <t>Km46+984</t>
  </si>
  <si>
    <t>Cầu Nậm Khắp</t>
  </si>
  <si>
    <t>Km57+289</t>
  </si>
  <si>
    <t>Cầu Nậm Tôn mới</t>
  </si>
  <si>
    <t>Km57+654</t>
  </si>
  <si>
    <t>Cầu Nậm Tôn cũ</t>
  </si>
  <si>
    <t>H13</t>
  </si>
  <si>
    <t>Cầu yếu (đã rào cấm cầu)</t>
  </si>
  <si>
    <t>Km68+374</t>
  </si>
  <si>
    <t>Cầu Bản Cái</t>
  </si>
  <si>
    <t>Km73+742</t>
  </si>
  <si>
    <t>Cầu Bản Mười</t>
  </si>
  <si>
    <t>Km106+206</t>
  </si>
  <si>
    <t>Cầu Phố ràng</t>
  </si>
  <si>
    <t>Km113+518</t>
  </si>
  <si>
    <t>Cầu suối Thâu</t>
  </si>
  <si>
    <t>Km119+653</t>
  </si>
  <si>
    <t>Cầu Việt Hải</t>
  </si>
  <si>
    <t>Km124+904</t>
  </si>
  <si>
    <t>Giá Thượng</t>
  </si>
  <si>
    <t>ĐT.154</t>
  </si>
  <si>
    <t>Km16+890</t>
  </si>
  <si>
    <t>Cúc Phương</t>
  </si>
  <si>
    <t>Km39+500</t>
  </si>
  <si>
    <t>Na Đẩy</t>
  </si>
  <si>
    <t>Km51+141</t>
  </si>
  <si>
    <t>Lùng Khấu Nhin</t>
  </si>
  <si>
    <t>ĐT.155</t>
  </si>
  <si>
    <t>Km7+050</t>
  </si>
  <si>
    <t>Km7+800</t>
  </si>
  <si>
    <t>Cầu Mường Hum</t>
  </si>
  <si>
    <t>Km6+130</t>
  </si>
  <si>
    <t>Cầu Nậm Pẻn</t>
  </si>
  <si>
    <t>Cầu Phiềng Láo</t>
  </si>
  <si>
    <t>Km32+450</t>
  </si>
  <si>
    <t>Km34+650</t>
  </si>
  <si>
    <t>Km36+360</t>
  </si>
  <si>
    <t>Cầu Khe Lạnh</t>
  </si>
  <si>
    <t>ĐT.155 (đường tránh QL.4D)</t>
  </si>
  <si>
    <t>Km52+115</t>
  </si>
  <si>
    <t>Km0+464</t>
  </si>
  <si>
    <t>Cầu Quang Kim</t>
  </si>
  <si>
    <t>Km6+891</t>
  </si>
  <si>
    <t>Cầu Bản Qua</t>
  </si>
  <si>
    <t>Đang bàn giao XDCB</t>
  </si>
  <si>
    <t>ĐT.156B</t>
  </si>
  <si>
    <t>Cầu Bản Xèo</t>
  </si>
  <si>
    <t>ĐT.157</t>
  </si>
  <si>
    <t>Km1+900</t>
  </si>
  <si>
    <t>Cầu Km1+900</t>
  </si>
  <si>
    <t>Km13+240</t>
  </si>
  <si>
    <t>Cầu Km13+240</t>
  </si>
  <si>
    <t>Km13+530</t>
  </si>
  <si>
    <t>Cầu Km13+530</t>
  </si>
  <si>
    <t>Km17+500</t>
  </si>
  <si>
    <t>Cầu Km17+500</t>
  </si>
  <si>
    <t>Cầu Km17+820</t>
  </si>
  <si>
    <t>Km18+250</t>
  </si>
  <si>
    <t>Cầu Km18+250</t>
  </si>
  <si>
    <t>Km30+350</t>
  </si>
  <si>
    <t>Cầu Km30+350</t>
  </si>
  <si>
    <t>ĐT.158</t>
  </si>
  <si>
    <t>Km61+680</t>
  </si>
  <si>
    <t>Dền Sáng 1</t>
  </si>
  <si>
    <t>Km62+530</t>
  </si>
  <si>
    <t>Dền Sáng</t>
  </si>
  <si>
    <t>Km66+350</t>
  </si>
  <si>
    <t>Chu Phìn</t>
  </si>
  <si>
    <t>Km67+800</t>
  </si>
  <si>
    <t>Sin Cơ</t>
  </si>
  <si>
    <t>ĐT.161</t>
  </si>
  <si>
    <t>Km4+187</t>
  </si>
  <si>
    <t>Cầu Vượt đường sắt</t>
  </si>
  <si>
    <t>HL-93</t>
  </si>
  <si>
    <t>Km4+971</t>
  </si>
  <si>
    <t>Cầu Xum</t>
  </si>
  <si>
    <t>Km16+269</t>
  </si>
  <si>
    <t>Km8+849</t>
  </si>
  <si>
    <t>Km15+566</t>
  </si>
  <si>
    <t>Cầu Khe Quan</t>
  </si>
  <si>
    <t>Km17+678</t>
  </si>
  <si>
    <t>Cầu Lượt</t>
  </si>
  <si>
    <t>Km19+390</t>
  </si>
  <si>
    <t>Cầu Đo</t>
  </si>
  <si>
    <t>Km21+043</t>
  </si>
  <si>
    <t>Km27+016</t>
  </si>
  <si>
    <t>Cầu My</t>
  </si>
  <si>
    <t>Km21+250</t>
  </si>
  <si>
    <t>Cầu Cao</t>
  </si>
  <si>
    <t>Km23+253</t>
  </si>
  <si>
    <t>Cầu Lạng</t>
  </si>
  <si>
    <t>Km34+113</t>
  </si>
  <si>
    <t>Cầu Ngòi Chì</t>
  </si>
  <si>
    <t>Km37+619</t>
  </si>
  <si>
    <t>Cầu Lu</t>
  </si>
  <si>
    <t>Km39+260</t>
  </si>
  <si>
    <t>Cầu Nhò</t>
  </si>
  <si>
    <t>Km43+536</t>
  </si>
  <si>
    <t>Cầu Nhai</t>
  </si>
  <si>
    <t>Km45+759</t>
  </si>
  <si>
    <t>Cầu Gia</t>
  </si>
  <si>
    <t>Km49+010</t>
  </si>
  <si>
    <t>Cầu Vàn</t>
  </si>
  <si>
    <t>Km50+444</t>
  </si>
  <si>
    <t>Km52+128</t>
  </si>
  <si>
    <t>Cầu Kíp</t>
  </si>
  <si>
    <t>Km53+209</t>
  </si>
  <si>
    <t>Cầu Khoai</t>
  </si>
  <si>
    <t>Km57+583</t>
  </si>
  <si>
    <t>Cầu Bảo Hà</t>
  </si>
  <si>
    <t>(Thuộc xã Vạn Hòa)</t>
  </si>
  <si>
    <t>Cầu Giang Đông</t>
  </si>
  <si>
    <t>Km8+531</t>
  </si>
  <si>
    <t>Cầu suối Chăn</t>
  </si>
  <si>
    <t>Tải trọng xe BELAZ</t>
  </si>
  <si>
    <t>Ngầm tràn</t>
  </si>
  <si>
    <t>Cầu suối Nhuần</t>
  </si>
  <si>
    <t>Km33+838</t>
  </si>
  <si>
    <t>Cầu bản</t>
  </si>
  <si>
    <t>Km0-Km7+500</t>
  </si>
  <si>
    <t>Km7+500-Km28</t>
  </si>
  <si>
    <t>Km28-Km37+800</t>
  </si>
  <si>
    <t>I</t>
  </si>
  <si>
    <t xml:space="preserve">
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</si>
  <si>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</si>
  <si>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</si>
  <si>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</si>
  <si>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</si>
  <si>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</si>
  <si>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</si>
  <si>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</si>
  <si>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</si>
  <si>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</si>
  <si>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</si>
  <si>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</si>
  <si>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</si>
  <si>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XVI</t>
  </si>
  <si>
    <t>Km0-Km10+800</t>
  </si>
  <si>
    <t>Km10+800-Km50+600</t>
  </si>
  <si>
    <t>Đường Cấp V miền núi, Mặt đường Láng nhựa, bề rộng mặt đường từ 3,5m</t>
  </si>
  <si>
    <t>Đường cấp IV miền núi, mặt đường Bê tông nhựa bề rộng từ 6,5m</t>
  </si>
  <si>
    <t>Đường cấp III miền núi, mặt đường Bê tông nhựa, bề rộng từ 8m</t>
  </si>
  <si>
    <t>Km0-Km2+900</t>
  </si>
  <si>
    <t>Chưa vào cấp</t>
  </si>
  <si>
    <t>Km2+900-Km8+500</t>
  </si>
  <si>
    <t>Km8+500-Km17+00</t>
  </si>
  <si>
    <t>Km17+00-Km54+00</t>
  </si>
  <si>
    <t>Km54+00-Km90+00</t>
  </si>
  <si>
    <t>Km90+00-Km109+00</t>
  </si>
  <si>
    <t>Km0-Km1+970</t>
  </si>
  <si>
    <t>Km1+970-Km23+420</t>
  </si>
  <si>
    <t>Km23+420-Km25+820</t>
  </si>
  <si>
    <t>Đoạn tuyến mới theo Quyết định số 35/QĐ-UBND ngày 20/3/2025 của UBND tỉnh Lào Cai, chưa nhận bàn giao từ huyện Bảo Thắng</t>
  </si>
  <si>
    <t>Km25+820-Km41+820</t>
  </si>
  <si>
    <t>Km41+820-Km56+440</t>
  </si>
  <si>
    <t>Đường cấp III miền núi, mặt đường Bê tông nhựa, bề rộng mặt đường từ 8m</t>
  </si>
  <si>
    <t>Đường cấp IV miền núi, mặt đường Bê tông nhựa, bề rộng mặt đường từ 5,5m</t>
  </si>
  <si>
    <t>Km0-Km32+600</t>
  </si>
  <si>
    <t>Km33+00-Km39+745</t>
  </si>
  <si>
    <t>Km32+600-Km33+00</t>
  </si>
  <si>
    <t>Đoạn bàn giao XDCB</t>
  </si>
  <si>
    <t>Km27+500 - Km58</t>
  </si>
  <si>
    <t>Đường cấp V miền núi, mặt đường Bê tông nhựa, bề rộng mặt đường từ 5,5m</t>
  </si>
  <si>
    <t>Km0-Km13+300</t>
  </si>
  <si>
    <t>Đường cấp IV miền núi, mặt đường Bê tông nhựa, bê tông xi măng bề rộng mặt đường từ 5,5m</t>
  </si>
  <si>
    <t>Km13+300-Km21+698</t>
  </si>
  <si>
    <t>Đường cấp V miền núi, mặt đường Bê tông nhựa, bê tông xi măng bề rộng mặt đường từ 5,5m</t>
  </si>
  <si>
    <t>Km21+698-Km45+750</t>
  </si>
  <si>
    <t>Đường cấp V miền núi, mặt đường Bê tông nhựa, bê tông xi măng bề rộng mặt đường từ 6,5m</t>
  </si>
  <si>
    <t>Km45+750-Km54+100</t>
  </si>
  <si>
    <t>Đường cấp III  mặt đường Bê tông nhựa bề rộng mặt đường từ 8m</t>
  </si>
  <si>
    <t>Đường cấp III miền núi, mặt đường Bê tông nhựa chiều rộng từ 9m</t>
  </si>
  <si>
    <t>Đường cấp V miền núi, mặt đường Láng nhựa, bề rộng mặt đường từ 3,5m-5m</t>
  </si>
  <si>
    <t>Km0+786-Km28+00</t>
  </si>
  <si>
    <t>Km28+00-Km37+600</t>
  </si>
  <si>
    <t>Km0+00 - Km13+00</t>
  </si>
  <si>
    <t>Km13+00 -Km41+00</t>
  </si>
  <si>
    <t>Đang quy hoạch chưa XD</t>
  </si>
  <si>
    <t>Km41+00 - Km55+00</t>
  </si>
  <si>
    <t>Đường Cấp VI miền núi, mặt đường Láng nhựa và BTXM, bề rộng mặt đường từ 3m</t>
  </si>
  <si>
    <t>Km0-Km15</t>
  </si>
  <si>
    <t>Km15-Km43+500</t>
  </si>
  <si>
    <t>Đường Cấp IV miền núi, Mặt đường Bê tông nhựa, bề rộng mặt đường từ 7,5m</t>
  </si>
  <si>
    <t>Đoạn tuyến do BOT quản lý</t>
  </si>
  <si>
    <t>Km0+00-Km10+200</t>
  </si>
  <si>
    <t>Km10+200 - Km16+00</t>
  </si>
  <si>
    <t>Đường cấp C - GTNT, Mặt đường Láng nhựa, bề rộng mặt đường từ 3m</t>
  </si>
  <si>
    <t>Km16+00 - Km28+00</t>
  </si>
  <si>
    <t>Km28+00-Km41+500</t>
  </si>
  <si>
    <t>Đường Cấp IV miền núi, Mặt đường BTN và BTXM, bề rộng mặt đường từ 6,5m</t>
  </si>
  <si>
    <t>Km41+500 - Km71+200</t>
  </si>
  <si>
    <t>Km0 - Km18,3</t>
  </si>
  <si>
    <t>Đang thực hiện XDCB</t>
  </si>
  <si>
    <t>Km18,3 - Km21+100</t>
  </si>
  <si>
    <t>Km21+100 - Km26+100</t>
  </si>
  <si>
    <t>Km26+100 - Km69+100</t>
  </si>
  <si>
    <t>Đường chưa vào cấp</t>
  </si>
  <si>
    <t>Km0-Km12</t>
  </si>
  <si>
    <t>Km12 - Km13+240</t>
  </si>
  <si>
    <t>Km13+420 - Km21+420</t>
  </si>
  <si>
    <t>Km21+420 - Km28+420</t>
  </si>
  <si>
    <t>Km28+420 - Km40+420</t>
  </si>
  <si>
    <t>Km40+420 - Km45+420</t>
  </si>
  <si>
    <t>Km45+420 - Km49+420</t>
  </si>
  <si>
    <t>Km49+420 - Km61+020</t>
  </si>
  <si>
    <t>Km61+020 - Km67+750</t>
  </si>
  <si>
    <t>Km67+750 - Km97+250</t>
  </si>
  <si>
    <t>Km97+250 - Km97+850</t>
  </si>
  <si>
    <t>Nội thị huyện Bắc Hà: Mặt đường láng nhựa, bê tông, bê tông nhựa, bề rộng mặt đường từ 4,5-8m</t>
  </si>
  <si>
    <t>Nội thị xã Bản Liền: Mặt đường láng nhựa, bề rộng mặt đường từ 8m</t>
  </si>
  <si>
    <t>Đường cấp III miền núi, mặt đường Bê tông nhựa, bề rộng mặt đường từ 7-15m</t>
  </si>
  <si>
    <t>Đường cấp V miền núi, mặt đường Láng nhựa, bề rộng mặt đường 3,5m</t>
  </si>
  <si>
    <t>Km0+00 - Km47+00</t>
  </si>
  <si>
    <t>Km47+00 - Km58+200</t>
  </si>
  <si>
    <t>Km58+200 - Km70+00</t>
  </si>
  <si>
    <t>Km70+00 - Km76+00</t>
  </si>
  <si>
    <t>Km76+00 - Km81+00</t>
  </si>
  <si>
    <t>Km81+00- Km88+00</t>
  </si>
  <si>
    <t>Km88+00 - Km99+00</t>
  </si>
  <si>
    <t>Km99+00-Km106+00</t>
  </si>
  <si>
    <t>Km106+00-Km110+00</t>
  </si>
  <si>
    <t>Km110+00-Km129+00</t>
  </si>
  <si>
    <t>Đường cấp V miền núi, mặt đường láng nhựa, mặt đường rộng trung bình 3,5m</t>
  </si>
  <si>
    <t>Đường cấp IV miền núi, mặt đường BTN mặt đường rộng trung bình 6,5m</t>
  </si>
  <si>
    <t>Đường cấp V miền núi, mặt đường láng nhựa, mặt đường rộng trung bình 5,5m</t>
  </si>
  <si>
    <t>Cấp kỹ thuật hiện tại củ đường bộ</t>
  </si>
  <si>
    <t>ĐB</t>
  </si>
  <si>
    <t>MN</t>
  </si>
  <si>
    <t>Tình trạng tải trọng (tấn)</t>
  </si>
  <si>
    <t>KGH</t>
  </si>
  <si>
    <t>từ Km</t>
  </si>
  <si>
    <t>đến Km</t>
  </si>
  <si>
    <t>Ví dụ: thông tin tại cột (7) là 23 - 29 - 32, nghĩa là xe ô tô tải được phép lưu thông với khối lượng toàn bộ (cả xe và hàng) nhỏ hơn hoặc bằng 23 tấn; xe ô tô đầu kéo kéo sơ-mi- rơ-moóc được lưu thông với khối lượng toàn bộ (cả xe và hàng) nhỏ hơn hoặc bằng 29 tấn và xe ô tô kéo rơ-moóc được lưu thông với khối lượng toàn bộ (cả xe và hàng) nhỏ hơn hoặc bằng 32 tấn.</t>
  </si>
  <si>
    <t>Tình trạng tải trọng</t>
  </si>
  <si>
    <t>B-GTNT</t>
  </si>
  <si>
    <t>Km0-Km14+400</t>
  </si>
  <si>
    <t>Km53+998</t>
  </si>
  <si>
    <t>Km46+008</t>
  </si>
  <si>
    <t>Cầu vượt đường sắt (Đoạn Cầu Mây-Phố Lu)</t>
  </si>
  <si>
    <t>Cầu chui cao tốc (Đoạn Cầu Mây-Phố Lu)</t>
  </si>
  <si>
    <t>6</t>
  </si>
  <si>
    <t>ĐT.163</t>
  </si>
  <si>
    <t xml:space="preserve"> Km2+300</t>
  </si>
  <si>
    <t>Cầu Yên Ninh</t>
  </si>
  <si>
    <t>Km11+557</t>
  </si>
  <si>
    <t>Cầu Nga Quán</t>
  </si>
  <si>
    <t>Km15+058</t>
  </si>
  <si>
    <t>Cầu Nghĩa Phương</t>
  </si>
  <si>
    <t>Km17+152</t>
  </si>
  <si>
    <t>Cầu Việt Thành</t>
  </si>
  <si>
    <t>Km 22+230</t>
  </si>
  <si>
    <t>Cầu Móc Tôm</t>
  </si>
  <si>
    <t>Km 24+874</t>
  </si>
  <si>
    <t>Cầu Ngòi Hóp</t>
  </si>
  <si>
    <t>Km 31+379</t>
  </si>
  <si>
    <t>Cầu Yên Hưng</t>
  </si>
  <si>
    <t>Km 33+864</t>
  </si>
  <si>
    <t>Cầu Trạng</t>
  </si>
  <si>
    <t>Km39+523</t>
  </si>
  <si>
    <t>Cầu Ngòi A</t>
  </si>
  <si>
    <t>Km 44+160</t>
  </si>
  <si>
    <t>Cầu Vải</t>
  </si>
  <si>
    <t>Km 47+300</t>
  </si>
  <si>
    <t>Cầu Khai</t>
  </si>
  <si>
    <t>Km 49+550</t>
  </si>
  <si>
    <t>Cầu Mười</t>
  </si>
  <si>
    <t>Km 51+900</t>
  </si>
  <si>
    <t>Cầu Lẫm</t>
  </si>
  <si>
    <t>Km 54+080</t>
  </si>
  <si>
    <t>Cầu Trái Hút</t>
  </si>
  <si>
    <t>Km59+120</t>
  </si>
  <si>
    <t>Cầu Trà Con</t>
  </si>
  <si>
    <t>Km 61+360</t>
  </si>
  <si>
    <t>Cầu Trạc</t>
  </si>
  <si>
    <t>Km65+400</t>
  </si>
  <si>
    <t>Cầu Quần</t>
  </si>
  <si>
    <t>Km 68+940</t>
  </si>
  <si>
    <t>Cầu Nhược</t>
  </si>
  <si>
    <t>Km75+120</t>
  </si>
  <si>
    <t>Km77+270</t>
  </si>
  <si>
    <t>Km 82+600</t>
  </si>
  <si>
    <t>Cầu Lèn</t>
  </si>
  <si>
    <t>Km83+450</t>
  </si>
  <si>
    <t>ĐT.164</t>
  </si>
  <si>
    <t>Km 9+900</t>
  </si>
  <si>
    <t>Cầu Cài</t>
  </si>
  <si>
    <t>ĐT.165</t>
  </si>
  <si>
    <t>Km 0+80</t>
  </si>
  <si>
    <t>Cầu Mậu A</t>
  </si>
  <si>
    <t>ĐT.166</t>
  </si>
  <si>
    <t>Km9+247</t>
  </si>
  <si>
    <t>Cầu Gùa</t>
  </si>
  <si>
    <t>Km11+331,51</t>
  </si>
  <si>
    <t>Cầu Rào</t>
  </si>
  <si>
    <t>Km19+236,55</t>
  </si>
  <si>
    <t>Cầu Khe Mán</t>
  </si>
  <si>
    <t>Cầu Mương Mán</t>
  </si>
  <si>
    <t>Km20+938</t>
  </si>
  <si>
    <t>Cầu Vật Dùng</t>
  </si>
  <si>
    <t>Cầu Ngòi Tháp</t>
  </si>
  <si>
    <t>Km25+00</t>
  </si>
  <si>
    <t>Cầu Ngòi Viễn</t>
  </si>
  <si>
    <t>Km25+307,82</t>
  </si>
  <si>
    <t>Cầu Khe Vải</t>
  </si>
  <si>
    <t>Km30+425,59</t>
  </si>
  <si>
    <t>Cầu Ngòi Thia</t>
  </si>
  <si>
    <t>Km37+712</t>
  </si>
  <si>
    <t>Cầu Bục (Cầu An Thịnh)</t>
  </si>
  <si>
    <t>Km39+375</t>
  </si>
  <si>
    <t>Cầu Khe Chương</t>
  </si>
  <si>
    <t>Km50+102</t>
  </si>
  <si>
    <t>Cầu Khe Đóm</t>
  </si>
  <si>
    <t>Km52+153,54</t>
  </si>
  <si>
    <t>Cầu Hút</t>
  </si>
  <si>
    <t>ĐT.170</t>
  </si>
  <si>
    <t>Km5+800</t>
  </si>
  <si>
    <t>Cầu Lạnh</t>
  </si>
  <si>
    <t>Km 8+350</t>
  </si>
  <si>
    <t>Cầu Vĩnh Lạc</t>
  </si>
  <si>
    <t>Km 21+500</t>
  </si>
  <si>
    <t>Cầu Ngòi Lằn</t>
  </si>
  <si>
    <t>Km 25+100</t>
  </si>
  <si>
    <t>Cầu Ngòi Sọong</t>
  </si>
  <si>
    <t>Km 32+126</t>
  </si>
  <si>
    <t>Cầu Ngọc Chấn</t>
  </si>
  <si>
    <t>Km77+200</t>
  </si>
  <si>
    <t>Cầu Thác Ông cũ</t>
  </si>
  <si>
    <t>ĐT.171</t>
  </si>
  <si>
    <t>Km 3+330</t>
  </si>
  <si>
    <t>Km8+723</t>
  </si>
  <si>
    <t>Cầu Tô Mậu</t>
  </si>
  <si>
    <t>Km 11+475</t>
  </si>
  <si>
    <t>Cầu Làng Sâng</t>
  </si>
  <si>
    <t>Km20+625</t>
  </si>
  <si>
    <t>Cầu Tông Cụm</t>
  </si>
  <si>
    <t>ĐT. 172</t>
  </si>
  <si>
    <t>Km 0+308</t>
  </si>
  <si>
    <t>Cầu Hợp Minh</t>
  </si>
  <si>
    <t>Km 16+620</t>
  </si>
  <si>
    <t>Cầu Gáo 1</t>
  </si>
  <si>
    <t>Km 24+262</t>
  </si>
  <si>
    <t>Cầu Đèo Cuông</t>
  </si>
  <si>
    <t>Km 25+050</t>
  </si>
  <si>
    <t>Cầu Thanh Bồng</t>
  </si>
  <si>
    <t>Km 28+600</t>
  </si>
  <si>
    <t>Cầu khe Mơ</t>
  </si>
  <si>
    <t>Km 29+345</t>
  </si>
  <si>
    <t>Cầu Khe Mý</t>
  </si>
  <si>
    <t>Km 29+850</t>
  </si>
  <si>
    <t>Cầu Khe Kè</t>
  </si>
  <si>
    <t>Km 33+440</t>
  </si>
  <si>
    <t>Cầu Mỵ 1</t>
  </si>
  <si>
    <t>Km 34+100</t>
  </si>
  <si>
    <t xml:space="preserve"> Cầu Mỵ 2</t>
  </si>
  <si>
    <t>ĐT.173</t>
  </si>
  <si>
    <t>Km1+240</t>
  </si>
  <si>
    <t>Cầu Đại lịch 5</t>
  </si>
  <si>
    <t>Km1+430</t>
  </si>
  <si>
    <t>Cầu Quán gió</t>
  </si>
  <si>
    <t>Km1+990</t>
  </si>
  <si>
    <t>Cầu Đại lịch 4</t>
  </si>
  <si>
    <t>Km3+000</t>
  </si>
  <si>
    <t>Cầu tràn Đại lịch 3</t>
  </si>
  <si>
    <t>Km3+700</t>
  </si>
  <si>
    <t>Cầu tràn Đại lịch 2</t>
  </si>
  <si>
    <t>Km4+300</t>
  </si>
  <si>
    <t>Cầu tràn Đại lịch 1</t>
  </si>
  <si>
    <t>Km7+000</t>
  </si>
  <si>
    <t>Cầu Chấn thịnh</t>
  </si>
  <si>
    <t>Km7+750</t>
  </si>
  <si>
    <t>Cầu khe Cao</t>
  </si>
  <si>
    <t>H13-X60</t>
  </si>
  <si>
    <t>Km8+400</t>
  </si>
  <si>
    <t>Cầu Bến Cao</t>
  </si>
  <si>
    <t>Km8+600</t>
  </si>
  <si>
    <t>Cầu khe Bồ</t>
  </si>
  <si>
    <t>Km9+480</t>
  </si>
  <si>
    <t>Cầu khe Giầy</t>
  </si>
  <si>
    <t>Km12+265</t>
  </si>
  <si>
    <t>Cầu khe Rịa</t>
  </si>
  <si>
    <t>Km14+950</t>
  </si>
  <si>
    <t>Cầu khe Mạt</t>
  </si>
  <si>
    <t>Km17+390</t>
  </si>
  <si>
    <t>Cầu khe Lóng</t>
  </si>
  <si>
    <t>Km18+230</t>
  </si>
  <si>
    <t>Cầu Nghĩa tâm 3</t>
  </si>
  <si>
    <t>Km18+850</t>
  </si>
  <si>
    <t>Cầu Nghĩa tâm 2</t>
  </si>
  <si>
    <t>Km21+380</t>
  </si>
  <si>
    <t>Cầu Nghĩa tâm 1</t>
  </si>
  <si>
    <t>Km22+840</t>
  </si>
  <si>
    <t>Cầu khe Chì</t>
  </si>
  <si>
    <t>ĐT.174</t>
  </si>
  <si>
    <t xml:space="preserve">Cầu Ngòi Trát </t>
  </si>
  <si>
    <t>Cầu Ngòi  Thia</t>
  </si>
  <si>
    <t>Cầu Bùa</t>
  </si>
  <si>
    <t>Cầu Bản Lé</t>
  </si>
  <si>
    <t>H30-X80</t>
  </si>
  <si>
    <t>Cầu Dốc Đỏ</t>
  </si>
  <si>
    <t>Cầu Nghĩa Lộ</t>
  </si>
  <si>
    <t>H12-X60</t>
  </si>
  <si>
    <t>Cầu Hoòng Tôm</t>
  </si>
  <si>
    <t>H12- X60</t>
  </si>
  <si>
    <t>Cầu Nậm Pé</t>
  </si>
  <si>
    <t>Cầu  Đế Tua</t>
  </si>
  <si>
    <t>Cầu Hát Lìu</t>
  </si>
  <si>
    <t>Cầu Nậm Tung</t>
  </si>
  <si>
    <t>ĐT.175B</t>
  </si>
  <si>
    <t>Cầu Púng Luông</t>
  </si>
  <si>
    <t>Cầu Nậm Khắt</t>
  </si>
  <si>
    <t>Cầu Làng Sang</t>
  </si>
  <si>
    <t>Văn Chấn - Yên Lập</t>
  </si>
  <si>
    <t>Km0+970</t>
  </si>
  <si>
    <t xml:space="preserve">Cầu sắt </t>
  </si>
  <si>
    <t>Cầu yếu (đã cắm biển hạn chế tải trọng)</t>
  </si>
  <si>
    <t>33m</t>
  </si>
  <si>
    <t>Km2+090</t>
  </si>
  <si>
    <t>Cầu khe sừng</t>
  </si>
  <si>
    <t>5,2m</t>
  </si>
  <si>
    <t>Km4+640</t>
  </si>
  <si>
    <t>Cầu bê tông</t>
  </si>
  <si>
    <t>5,5m</t>
  </si>
  <si>
    <t>Km9+390</t>
  </si>
  <si>
    <t>7,0m</t>
  </si>
  <si>
    <t>Km13+98,78</t>
  </si>
  <si>
    <t>50,0m</t>
  </si>
  <si>
    <t>Km15+340</t>
  </si>
  <si>
    <t>Km18+090</t>
  </si>
  <si>
    <t>Đường IC12 - Vân Hội</t>
  </si>
  <si>
    <t>Km3+749</t>
  </si>
  <si>
    <t>Cầu Bến Đình</t>
  </si>
  <si>
    <t>Đường cầu Bách Lẫm</t>
  </si>
  <si>
    <t>Km0+532</t>
  </si>
  <si>
    <t>Cầu Bách Lẫm</t>
  </si>
  <si>
    <t>Đường Âu Cơ</t>
  </si>
  <si>
    <t>Km5+750</t>
  </si>
  <si>
    <t>Cầu Văn Phú</t>
  </si>
  <si>
    <t>Đường Tuần Quán</t>
  </si>
  <si>
    <t>Km3+080</t>
  </si>
  <si>
    <t>Cầu Tuần Quán</t>
  </si>
  <si>
    <t>Đường tỉnh</t>
  </si>
  <si>
    <t>II</t>
  </si>
  <si>
    <t>Quốc Lộ</t>
  </si>
  <si>
    <t>QL.70</t>
  </si>
  <si>
    <t>Km36+433</t>
  </si>
  <si>
    <t>Cầu Hương Giang</t>
  </si>
  <si>
    <t>Xây dựng năm 1966</t>
  </si>
  <si>
    <t>Cầu Cối Đản</t>
  </si>
  <si>
    <t>Cầu Suối Vồ</t>
  </si>
  <si>
    <t>Cầu Khuôn Đơ</t>
  </si>
  <si>
    <t>Cầu Khuôn La I</t>
  </si>
  <si>
    <t>Cầu Khuôn La II</t>
  </si>
  <si>
    <t>Km52+984</t>
  </si>
  <si>
    <t>Ngòi cát</t>
  </si>
  <si>
    <t>KCB</t>
  </si>
  <si>
    <t>25-39</t>
  </si>
  <si>
    <t>Km55+079</t>
  </si>
  <si>
    <t>Ngòi khang</t>
  </si>
  <si>
    <t>Km56+632</t>
  </si>
  <si>
    <t xml:space="preserve">Ngòi lực </t>
  </si>
  <si>
    <t>19-35-43</t>
  </si>
  <si>
    <t>Km66+512</t>
  </si>
  <si>
    <t>Ngòi Uông</t>
  </si>
  <si>
    <t>21-35-40</t>
  </si>
  <si>
    <t>Km71+412</t>
  </si>
  <si>
    <t>Ngòi Thìu</t>
  </si>
  <si>
    <t>21-38</t>
  </si>
  <si>
    <t>Km72+479</t>
  </si>
  <si>
    <t>Sài Lớn</t>
  </si>
  <si>
    <t>24-42</t>
  </si>
  <si>
    <t>Km76+418</t>
  </si>
  <si>
    <t>Khe Sát</t>
  </si>
  <si>
    <t>Km77+164</t>
  </si>
  <si>
    <t>Ngòi Vần</t>
  </si>
  <si>
    <t>18-31-34</t>
  </si>
  <si>
    <t>Km81+431</t>
  </si>
  <si>
    <t>Ngòi Thuồng</t>
  </si>
  <si>
    <t>17-27-34</t>
  </si>
  <si>
    <t>Km88+083</t>
  </si>
  <si>
    <t>Ngòi Đương</t>
  </si>
  <si>
    <t>Km91+370</t>
  </si>
  <si>
    <t>K57</t>
  </si>
  <si>
    <t>Km97+793</t>
  </si>
  <si>
    <t>Khe Đang</t>
  </si>
  <si>
    <t>Km98+050</t>
  </si>
  <si>
    <t>Tô Mậu</t>
  </si>
  <si>
    <t>17-27-33</t>
  </si>
  <si>
    <t>Km98+965</t>
  </si>
  <si>
    <t>Cầu Tràn</t>
  </si>
  <si>
    <t>Km108+250</t>
  </si>
  <si>
    <t>Ngòi Chả</t>
  </si>
  <si>
    <t>Km108+941</t>
  </si>
  <si>
    <t>Ngòi Chỉ</t>
  </si>
  <si>
    <t>19-27-33</t>
  </si>
  <si>
    <t>QL.32</t>
  </si>
  <si>
    <t xml:space="preserve">Cầu Khe Mòn </t>
  </si>
  <si>
    <t>Cầu Minh An</t>
  </si>
  <si>
    <t>Cầu Cướm</t>
  </si>
  <si>
    <t>Cầu Cát Thịnh</t>
  </si>
  <si>
    <t>Cầu Ba Khe</t>
  </si>
  <si>
    <t>Cầu Bản Hốc</t>
  </si>
  <si>
    <t>Cầu Suối Bu</t>
  </si>
  <si>
    <t>Cầu Bản Đồn</t>
  </si>
  <si>
    <t>Cầu Ngòi Nhì</t>
  </si>
  <si>
    <t>Cầu Ngòi Lung</t>
  </si>
  <si>
    <t>Cầu Suối Đôi 1</t>
  </si>
  <si>
    <t>Cầu Suối Đôi 2</t>
  </si>
  <si>
    <t>Cầu Bản Dõng</t>
  </si>
  <si>
    <t>Cầu Nậm Kiệt</t>
  </si>
  <si>
    <t>Cầu Huổi Sảo</t>
  </si>
  <si>
    <t>Cầu Nậm Cưởm</t>
  </si>
  <si>
    <t>Cầu Nậm Pươi</t>
  </si>
  <si>
    <t>Cầu Nậm Búng</t>
  </si>
  <si>
    <t>Cầu Nậm Chậu</t>
  </si>
  <si>
    <t>Cầu Sài Lương 1</t>
  </si>
  <si>
    <t>Cầu Nậm Tun</t>
  </si>
  <si>
    <t>Cầu Huổi Năng</t>
  </si>
  <si>
    <t>Hl93</t>
  </si>
  <si>
    <t>Cầu Sàn Thái 1</t>
  </si>
  <si>
    <t>Cầu Khau Phạ 1</t>
  </si>
  <si>
    <t>Cầu Sàn Thái 2</t>
  </si>
  <si>
    <t>Cầu Khau Phạ 2</t>
  </si>
  <si>
    <t>Cầu Nậm Kim</t>
  </si>
  <si>
    <t>Cầu Ba Nhà</t>
  </si>
  <si>
    <t>Cầu Si Mơ</t>
  </si>
  <si>
    <t>Cầu Si Mô</t>
  </si>
  <si>
    <t>Cầu Ma Sa</t>
  </si>
  <si>
    <t>Cầu Nậm Mơ</t>
  </si>
  <si>
    <t>Cầu Thái Mơ</t>
  </si>
  <si>
    <t>Cầu Khau Mang 1</t>
  </si>
  <si>
    <t>Cầu Khau Mang 2</t>
  </si>
  <si>
    <t>Cầu Khau Mang 3</t>
  </si>
  <si>
    <t>Cầu Hồ Bốn 1</t>
  </si>
  <si>
    <t>Cầu Suối Kim 1</t>
  </si>
  <si>
    <t>H30- XB80</t>
  </si>
  <si>
    <t>Cầu Suối Kim 2</t>
  </si>
  <si>
    <t>QL.37</t>
  </si>
  <si>
    <t>Km239+800</t>
  </si>
  <si>
    <t>Cầu Thác Ông</t>
  </si>
  <si>
    <t>Km245+160</t>
  </si>
  <si>
    <t>Cầu Ngòi Cậu</t>
  </si>
  <si>
    <t>Km250+250</t>
  </si>
  <si>
    <t>Cầu Mơ</t>
  </si>
  <si>
    <t>Km280+500</t>
  </si>
  <si>
    <t>Cầu Yên Bái</t>
  </si>
  <si>
    <t xml:space="preserve">Cầu Dịa </t>
  </si>
  <si>
    <t>Cầu Ngòi Phà</t>
  </si>
  <si>
    <t>Cầu Ngòi Lao</t>
  </si>
  <si>
    <t xml:space="preserve">Cầu Gỗ </t>
  </si>
  <si>
    <t xml:space="preserve">Cầu Khe Thắm </t>
  </si>
  <si>
    <t>Cầu Khe Cạn</t>
  </si>
  <si>
    <t>Cầu Dài</t>
  </si>
  <si>
    <t>Cầu Ngòi Lâu</t>
  </si>
  <si>
    <t>Cầu Đắng Cái</t>
  </si>
  <si>
    <t>Cầu Đá Trắng</t>
  </si>
  <si>
    <t>Cầu Khuôn Đăm</t>
  </si>
  <si>
    <t>Cầu Khe Năn</t>
  </si>
  <si>
    <t>Cầu Đát Quang</t>
  </si>
  <si>
    <t>QL.32C</t>
  </si>
  <si>
    <t>Km83+712</t>
  </si>
  <si>
    <t>Cầu Ngòi Xẻ</t>
  </si>
  <si>
    <t>Km91+169</t>
  </si>
  <si>
    <t>Cầu Ngòi Đong</t>
  </si>
  <si>
    <t>Xây dựng năm 1996</t>
  </si>
  <si>
    <t>QL.2D</t>
  </si>
  <si>
    <t>Km92+227</t>
  </si>
  <si>
    <t>Cầu Ngòi Sen</t>
  </si>
  <si>
    <t>Km108+589</t>
  </si>
  <si>
    <t>Cầu Hoàng Thi</t>
  </si>
  <si>
    <t>Km56+450</t>
  </si>
  <si>
    <t>7,5/7,0</t>
  </si>
  <si>
    <t>4,75/4,75</t>
  </si>
  <si>
    <t>Km64+640</t>
  </si>
  <si>
    <t>5,15/4,75</t>
  </si>
  <si>
    <t>Km68+480</t>
  </si>
  <si>
    <t>9,0/7,0</t>
  </si>
  <si>
    <t>5,0/4,75</t>
  </si>
  <si>
    <t>Km69+050</t>
  </si>
  <si>
    <t>8,5/7,0</t>
  </si>
  <si>
    <t>Km73+950</t>
  </si>
  <si>
    <t>Km77+750</t>
  </si>
  <si>
    <t>4,3 m</t>
  </si>
  <si>
    <t>ĐT.172</t>
  </si>
  <si>
    <t>Km 1+980</t>
  </si>
  <si>
    <t>Cầu chui cao tốc</t>
  </si>
  <si>
    <t>ĐT.175</t>
  </si>
  <si>
    <t>Km0-Km5+900</t>
  </si>
  <si>
    <t>Km5+900-Km56+800</t>
  </si>
  <si>
    <t>Đường cấp IV miền núi, mặt đường Bê tông nhựa,  rộng mặt đường từ 5,5m</t>
  </si>
  <si>
    <t>Km56+800-Km85</t>
  </si>
  <si>
    <t>Đường cấp V miền núi, mặt đường bê tông xi măng, bề rộng mặt đường từ 3,5m</t>
  </si>
  <si>
    <t>Km0-Km20+500</t>
  </si>
  <si>
    <t>Đường Cấp V miền núi, Mặt đường Láng nhựa và Bê tông nhựa, bề rộng mặt đường từ 5,5m</t>
  </si>
  <si>
    <t>Km0 - Km2+200</t>
  </si>
  <si>
    <t>Đường cấp IV miền núi, mặt đường Bê tông nhựa chiều bề rộng mặt đường từ 7,5 m</t>
  </si>
  <si>
    <t>Đường cấp V miền núi, mặt đường Láng nhựa, bề rộng mặt đường từ 5,5m</t>
  </si>
  <si>
    <t>Km0 - Km5</t>
  </si>
  <si>
    <t>Km5 - Km9+200</t>
  </si>
  <si>
    <t>Km9+200 - Km42+518</t>
  </si>
  <si>
    <t>Đường cấp IV miền núi, mặt đường Bê tông nhựa bề rộng 7,5m</t>
  </si>
  <si>
    <t>K42+518 - Km52+00</t>
  </si>
  <si>
    <t>Km0+00 - Km1+300</t>
  </si>
  <si>
    <t>Đường cấp III miền núi, mặt đường Bê tông nhựa chiều bề rộng mặt đường từ 7,5 m</t>
  </si>
  <si>
    <t>Km1+300 - Km5+000</t>
  </si>
  <si>
    <t>Đường Cấp IV miền núi, mặt đường Láng nhựa  bề rộng mặt đường từ 5,5m</t>
  </si>
  <si>
    <t>Km5+000-Km36+000</t>
  </si>
  <si>
    <t>Đường Cấp V miền núi, mặt đường Láng nhựa và BTXM, bề rộng mặt đường từ 3,5m</t>
  </si>
  <si>
    <t>Km36+000-Km76+000</t>
  </si>
  <si>
    <t>Km76+000 - Km77+400</t>
  </si>
  <si>
    <t>Đường Cấp V miền núi, mặt đường Láng nhựa  bề rộng mặt đường từ 5,5m</t>
  </si>
  <si>
    <t>Km0-Km2</t>
  </si>
  <si>
    <t>Đường Cấp V miền núi, mặt đường Láng nhựa bề rộng mặt đường từ 3,5m</t>
  </si>
  <si>
    <t>Km0 + 00 - Km1+000</t>
  </si>
  <si>
    <t>Đường cấp III miền núi, mặt đường Bê tông nhựa chiều bề rộng mặt đường từ 8,5 m</t>
  </si>
  <si>
    <t>Km1+000-Km10+000</t>
  </si>
  <si>
    <t>Km1+000-Km12+000</t>
  </si>
  <si>
    <t>Đường cấp IV miền núi, mặt đường Bê tông xi măng,  rộng mặt đường từ 5,5m</t>
  </si>
  <si>
    <t>Km12+000-Km20+600</t>
  </si>
  <si>
    <t>Km20+600-Km27+000</t>
  </si>
  <si>
    <t>Km0+00-Km34+200</t>
  </si>
  <si>
    <t>Đường cấp IV miền núi, mặt đường Bê tông nhựa chiều bề rộng mặt đường từ 6,5 m</t>
  </si>
  <si>
    <t>Km0+000-Km8+700</t>
  </si>
  <si>
    <t>Km8+700-Km18+700</t>
  </si>
  <si>
    <t>Đường cấp IV miền núi, mặt đường BTXM, bề rộng mặt đường từ 5,5m</t>
  </si>
  <si>
    <t>Km18+700-Km26+000</t>
  </si>
  <si>
    <t>Km0+000-Km3+000</t>
  </si>
  <si>
    <t>Đường cấp III miền núi, mặt đường Bê tông nhựa, bề rộng mặt đường từ 11,0m</t>
  </si>
  <si>
    <t>Km3+000-Km5+630</t>
  </si>
  <si>
    <t>Đường cấp IV miền núi, mặt đường Bê tông nhựa, bề rộng mặt đường từ 7,0m</t>
  </si>
  <si>
    <t>Km5+630-Km31+370</t>
  </si>
  <si>
    <t>Đường cấp V miền núi, mặt đường láng nhựa, bề rộng mặt đường từ 3,5m</t>
  </si>
  <si>
    <t>Km31+370-Km33+000</t>
  </si>
  <si>
    <t>Km0 - Km20+000</t>
  </si>
  <si>
    <t>Đường cấp IV miền núi, mặt đường Bê tông nhựa bề rộng 5,5m</t>
  </si>
  <si>
    <t>Km0+000-Km19+500</t>
  </si>
  <si>
    <t xml:space="preserve">Đường Trạm Tấu - Bắc Yên </t>
  </si>
  <si>
    <t>Km0+000-Km2+207</t>
  </si>
  <si>
    <t>Đường cấp IV miền núi, mặt đường Bê tông nhựa, bề rộng mặt đường từ 7,5m</t>
  </si>
  <si>
    <t>Km2+207-Km16+00</t>
  </si>
  <si>
    <t xml:space="preserve">Đường Văn Chấn - Yên Lập </t>
  </si>
  <si>
    <t>Km0+000-Km6+814</t>
  </si>
  <si>
    <t>Km6+814-Km8+090</t>
  </si>
  <si>
    <t>Km8+090-Km12+084</t>
  </si>
  <si>
    <t>Km12+084-Km18+365</t>
  </si>
  <si>
    <t>Đường Sơn Thịnh - Suối Giàng</t>
  </si>
  <si>
    <t>Km0 - Km11+300</t>
  </si>
  <si>
    <t>Đường cấp IV miền núi, mặt đường Bê tông nhựa bề rộng  5,5m</t>
  </si>
  <si>
    <t>Km0-Km1+800</t>
  </si>
  <si>
    <t>Đường cấp III miền núi, mặt đường Bê tông nhựa chiều rộng 10,5m</t>
  </si>
  <si>
    <t>Đường Minh Bảo- Đại Đồng</t>
  </si>
  <si>
    <t>Km0 + 00 - Km5+400</t>
  </si>
  <si>
    <t>Đường cấp V miền núi, mặt đường Bê tông nhựa chiều bề rộng mặt đường từ 5,5 m</t>
  </si>
  <si>
    <t>Km5+400 - Km8+000</t>
  </si>
  <si>
    <t>Đường cấp V miền núi, mặt đường láng nhựa chiều bề rộng mặt đường từ 5,5 m</t>
  </si>
  <si>
    <t>Đường Nguyễn Tất Thành</t>
  </si>
  <si>
    <t>Km0+000-Km5+600</t>
  </si>
  <si>
    <t>Đường cấp III đô thị, mặt đường Bê tông nhựa chiều bề rộng mặt đường từ 21 m</t>
  </si>
  <si>
    <t>Km0+000-Km10+500</t>
  </si>
  <si>
    <t>XV</t>
  </si>
  <si>
    <t>Đường Nút giao IC12-Vân Hội</t>
  </si>
  <si>
    <t>Km0+000-Km3+700</t>
  </si>
  <si>
    <t>Đường cấp III Miền Núi, mặt đường Bê tông nhựa chiều bề rộng mặt đường từ 7,5 m</t>
  </si>
  <si>
    <t>Km3+700-Km7+300</t>
  </si>
  <si>
    <t>Đường cấp IV Miền Núi, mặt đường Bê tông nhựa chiều bề rộng mặt đường từ 5,5 m</t>
  </si>
  <si>
    <t>Km0-Km1+890</t>
  </si>
  <si>
    <t>Đường cấp III Miền Núi, mặt đường Bê tông nhựa chiều bề rộng mặt đường từ 15 m</t>
  </si>
  <si>
    <t>Km0+000-Km6+800</t>
  </si>
  <si>
    <t>Đường cấp III Miền Núi, mặt đường Bê tông nhựa chiều bề rộng mặt đường từ 21 m</t>
  </si>
  <si>
    <t>Km7+600-Km12+200</t>
  </si>
  <si>
    <t>Km0+000-Km2+000</t>
  </si>
  <si>
    <t>Km0+000-Km2+030</t>
  </si>
  <si>
    <t>Km0-Km49+117</t>
  </si>
  <si>
    <t>Đường cấp IV miền núi, mặt đường Bê tông XM, bề rộng mặt đường từ 5m</t>
  </si>
  <si>
    <t xml:space="preserve">
XVIII</t>
  </si>
  <si>
    <t>XX</t>
  </si>
  <si>
    <t>XXI</t>
  </si>
  <si>
    <t>XXII</t>
  </si>
  <si>
    <t>XXIII</t>
  </si>
  <si>
    <t>XXIV</t>
  </si>
  <si>
    <t>XXV</t>
  </si>
  <si>
    <t>XXVI</t>
  </si>
  <si>
    <t>XXVII</t>
  </si>
  <si>
    <t>XIX</t>
  </si>
  <si>
    <t>B</t>
  </si>
  <si>
    <t>A</t>
  </si>
  <si>
    <t>Km 316+000-Km 320+000</t>
  </si>
  <si>
    <t>Km 320+000-Km 322+800</t>
  </si>
  <si>
    <t>Đường cấp III miền núi, mặt đường Bê tông nhựa, bề rộng mặt đường từ 9,0m</t>
  </si>
  <si>
    <t>Km 322+800- Km 329+500</t>
  </si>
  <si>
    <t>Km 329+500- Km 330+000</t>
  </si>
  <si>
    <t>Km 330+000-Km 355+000</t>
  </si>
  <si>
    <t>Km25A+000 - Km109+000</t>
  </si>
  <si>
    <t>Km79+000-Km87+500</t>
  </si>
  <si>
    <t>Km87+500-Km96+500</t>
  </si>
  <si>
    <t>Km90+765-Km94+400</t>
  </si>
  <si>
    <t>Đường cấp V Miền Núi, mặt đường Bê tông nhựa chiều bề rộng mặt đường từ 5,5 m</t>
  </si>
  <si>
    <t>Km94+400-Km106+000</t>
  </si>
  <si>
    <t>Km106+000-Km118+765</t>
  </si>
  <si>
    <t>Km147+000-Km162+000</t>
  </si>
  <si>
    <t>Km162+000-Km 172+000</t>
  </si>
  <si>
    <t>Km 172+000- Km 184+000</t>
  </si>
  <si>
    <t>Km 184+000- Km 185+000</t>
  </si>
  <si>
    <t>Km 185+000- Km 191+300</t>
  </si>
  <si>
    <t>Km 191+300-Km193+500</t>
  </si>
  <si>
    <t>Đường cấp III miền núi, mặt đường Bê tông nhựa, bề rộng mặt đường từ 15,0m</t>
  </si>
  <si>
    <t>Km193+500-Km 197+000</t>
  </si>
  <si>
    <t>Km 197+000-Km204+568</t>
  </si>
  <si>
    <t>Đường cấp III miền núi, mặt đường Bê tông nhựa, bề rộng mặt đường từ 8,0m</t>
  </si>
  <si>
    <t>Km204+568-Km 211+000</t>
  </si>
  <si>
    <t>Km 211+000-Km214+00</t>
  </si>
  <si>
    <t>Km214+00-Km 234+329</t>
  </si>
  <si>
    <t>Km 234+329-Km 236+143</t>
  </si>
  <si>
    <t>Km 236+143-Km 253+000</t>
  </si>
  <si>
    <t>Km 253+000-Km 255+000</t>
  </si>
  <si>
    <t>Km 255+000-Km 284+600</t>
  </si>
  <si>
    <t>Km 284+600-Km 285+800</t>
  </si>
  <si>
    <t>Km 285+800-Km 300+800</t>
  </si>
  <si>
    <t>Km 300+800-Km 305+400</t>
  </si>
  <si>
    <t>Km 305+400-Km 313+000</t>
  </si>
  <si>
    <t>Km 313+000-Km 314+000</t>
  </si>
  <si>
    <t>Km 314+000-Km 332+000</t>
  </si>
  <si>
    <t>PHỤ LỤC SỐ 03: CÁC CẦU HẠN CHẾ TẢI TRỌNG, KHỔ GIỚI HẠN</t>
  </si>
  <si>
    <t>Đường cấp V miền núi, mặt đường Bê tông nhựa, bề rộng mặt đường từ 6,5m</t>
  </si>
  <si>
    <t>Đường cấp V miền núi, mặt đường Bê tông nhựa, Láng nhựa, bề rộng mặt đường từ 3,5</t>
  </si>
  <si>
    <t>Đường cấp VI miền núi, mặt đường Bê tông nhựa, Láng nhựa, bề rộng mặt đường từ 3,5m</t>
  </si>
  <si>
    <t>Km0-Km0+400</t>
  </si>
  <si>
    <t>Đường cấp IV miền núi, mặt đường Bê tông nhựa, bề rộng mặt đường từ 9m</t>
  </si>
  <si>
    <t>Km0+400-Km18+400</t>
  </si>
  <si>
    <t>QL.279</t>
  </si>
  <si>
    <t>Đường cấp IV miền núi, mặt đường Bê tông nhựa, bề rộng từ 6,5m-7,5m</t>
  </si>
  <si>
    <t>Km66+500 - Km67+00</t>
  </si>
  <si>
    <t>Đường cấp III miền núi, mặt đường Bê tông nhựa, bề rộng từ 11m-12m</t>
  </si>
  <si>
    <t>Km67+00 - Km68+920</t>
  </si>
  <si>
    <t>Đường cấp III miền núi, mặt đường Bê tông nhựa, bề rộng từ 10,5m-11m</t>
  </si>
  <si>
    <t>Km68+920 - Km73+390</t>
  </si>
  <si>
    <t>Km73+390 - Km76+00</t>
  </si>
  <si>
    <t>Đường cấp IV miền núi, mặt đường BTXM, bề rộng từ 6,5m-7,5m</t>
  </si>
  <si>
    <t>Km76+00 - Km77+000</t>
  </si>
  <si>
    <t>Km77+00 - Km77+300</t>
  </si>
  <si>
    <t>Km77+300 - Km77+730</t>
  </si>
  <si>
    <t>Km77+730 - Km79+420</t>
  </si>
  <si>
    <t>Km79+420 - Km79+900</t>
  </si>
  <si>
    <t>Km79+900 - Km81+100</t>
  </si>
  <si>
    <t>Km81+100 - Km81+300</t>
  </si>
  <si>
    <t>Km88+700 - Km91+00</t>
  </si>
  <si>
    <t>Km91+00 - Km157+500</t>
  </si>
  <si>
    <t>Km109+000-Km119+600</t>
  </si>
  <si>
    <t>Đường cấp V miền núi, mặt đường Bê tông nhựa, bề rộng 5,5m</t>
  </si>
  <si>
    <t>Km119+600-Km123+200</t>
  </si>
  <si>
    <t>Đường cấp V miền núi, mặt đường Bê tông nhựa, bề rộng từ 6,5m-7,0m</t>
  </si>
  <si>
    <t>Km123+200-Km124+200</t>
  </si>
  <si>
    <t>Đường cấp V miền núi, mặt đường Bê tông nhựa, bề rộng 11m</t>
  </si>
  <si>
    <t>Km124+200-Km189+000</t>
  </si>
  <si>
    <t>Đường cấp V miền núi, mặt đường Bê tông nhựa, bề rộng từ 5,5m-6,5m</t>
  </si>
  <si>
    <t>Km189+000-Km198+050</t>
  </si>
  <si>
    <t>Đường cấp III miền núi, mặt đường Bê tông nhựa, bề rộng 12m</t>
  </si>
  <si>
    <t>QL4E</t>
  </si>
  <si>
    <t>Đường cấp IV miền núi, mặt đường Bê tông nhựa, bề rộng 6,5m</t>
  </si>
  <si>
    <t>Đường cấp III miền núi, mặt đường Bê tông nhựa, bề rộng 30m</t>
  </si>
  <si>
    <t>Đường cấp III miền núi, mặt đường Bê tông nhựa, bề rộng 11m</t>
  </si>
  <si>
    <t>QL70</t>
  </si>
  <si>
    <t>Km197+800</t>
  </si>
  <si>
    <t>8.7 (P);  9.7 (T)</t>
  </si>
  <si>
    <t>Cầu chui đường bộ</t>
  </si>
  <si>
    <t>Km197+810</t>
  </si>
  <si>
    <t>Cầu chui đường sắt</t>
  </si>
  <si>
    <t>Km54+580</t>
  </si>
  <si>
    <t>Km56+350</t>
  </si>
  <si>
    <t>Km63+300</t>
  </si>
  <si>
    <t>Km66+020</t>
  </si>
  <si>
    <t>Km91+200</t>
  </si>
  <si>
    <t>Cầu vượt đường cao tốc</t>
  </si>
  <si>
    <t>Quốc lộ</t>
  </si>
  <si>
    <t>Km111+030</t>
  </si>
  <si>
    <t>Bến Cóc</t>
  </si>
  <si>
    <t>K.Định 2018</t>
  </si>
  <si>
    <t>Km114+390</t>
  </si>
  <si>
    <t>Cầu Lủ</t>
  </si>
  <si>
    <t>21-34-42</t>
  </si>
  <si>
    <t>K.Định 2022</t>
  </si>
  <si>
    <t>Km115+706</t>
  </si>
  <si>
    <t>Cầu Sóc</t>
  </si>
  <si>
    <t>Km118+806</t>
  </si>
  <si>
    <t>Cầu Mác</t>
  </si>
  <si>
    <t>32-48-45</t>
  </si>
  <si>
    <t>Km122+120</t>
  </si>
  <si>
    <t>Cầu Lự II</t>
  </si>
  <si>
    <t>Km123+341</t>
  </si>
  <si>
    <t>Cầu Lự I</t>
  </si>
  <si>
    <t>Km124+228</t>
  </si>
  <si>
    <t>Phố Ràng</t>
  </si>
  <si>
    <t>Km 125+620</t>
  </si>
  <si>
    <t>Cầu Trắng</t>
  </si>
  <si>
    <t>Km135+179</t>
  </si>
  <si>
    <t>Km136+696</t>
  </si>
  <si>
    <t>Thượng Hà</t>
  </si>
  <si>
    <t>Km139+750</t>
  </si>
  <si>
    <t>Mai Đào</t>
  </si>
  <si>
    <t>Km146+450</t>
  </si>
  <si>
    <t>Làng Phàng</t>
  </si>
  <si>
    <t>19-30-37</t>
  </si>
  <si>
    <t>Km146+710</t>
  </si>
  <si>
    <t>Điện Quan</t>
  </si>
  <si>
    <t>Km157+150</t>
  </si>
  <si>
    <t>Tân Dân</t>
  </si>
  <si>
    <t>Km160+502</t>
  </si>
  <si>
    <t>Bắc Ngầm</t>
  </si>
  <si>
    <t>Km162+711</t>
  </si>
  <si>
    <t>Cốc Sâm</t>
  </si>
  <si>
    <t>K.Định 2016</t>
  </si>
  <si>
    <t>Km171+243</t>
  </si>
  <si>
    <t>Vi mã I</t>
  </si>
  <si>
    <t>Km176+350</t>
  </si>
  <si>
    <t>Ả dõng</t>
  </si>
  <si>
    <t>Km180+700</t>
  </si>
  <si>
    <t>Bản lọt</t>
  </si>
  <si>
    <t>Km184+388</t>
  </si>
  <si>
    <t>Nậm choỏng</t>
  </si>
  <si>
    <t>Km185+362</t>
  </si>
  <si>
    <t>Chủ choỏng</t>
  </si>
  <si>
    <t>Km186+600</t>
  </si>
  <si>
    <t>Nậm chủ</t>
  </si>
  <si>
    <t>Km189+803</t>
  </si>
  <si>
    <t xml:space="preserve">Bản phiệt </t>
  </si>
  <si>
    <t>Km198+050</t>
  </si>
  <si>
    <t xml:space="preserve">Hồ kiều </t>
  </si>
  <si>
    <t>Km37+518</t>
  </si>
  <si>
    <t xml:space="preserve">Cầu Bắc Ngầm </t>
  </si>
  <si>
    <t>Mặt đường 11m</t>
  </si>
  <si>
    <t>Km47+420</t>
  </si>
  <si>
    <t xml:space="preserve">Cầu Ngòi Lu </t>
  </si>
  <si>
    <t>K.Định 6/2005</t>
  </si>
  <si>
    <t>Km48+600</t>
  </si>
  <si>
    <t xml:space="preserve">Cầu Phố Lu </t>
  </si>
  <si>
    <t>Km52+400</t>
  </si>
  <si>
    <t xml:space="preserve">Cầu Sơn Hải </t>
  </si>
  <si>
    <t>Km56+500</t>
  </si>
  <si>
    <t xml:space="preserve">Cầu Suốt Trát </t>
  </si>
  <si>
    <t>Km62+930</t>
  </si>
  <si>
    <t xml:space="preserve">Cầu Gia Phú </t>
  </si>
  <si>
    <t>Bàn giao đưa vào khai thác 1/8/ 2020</t>
  </si>
  <si>
    <t>Km71+980</t>
  </si>
  <si>
    <t xml:space="preserve">Cầu Ngòi Đường </t>
  </si>
  <si>
    <t>Km73+400</t>
  </si>
  <si>
    <t xml:space="preserve">Cầu Bắc Lệnh </t>
  </si>
  <si>
    <t>Km80+300</t>
  </si>
  <si>
    <t>Cầu Kim Tân</t>
  </si>
  <si>
    <t>H30- XB81</t>
  </si>
  <si>
    <t>QL.4</t>
  </si>
  <si>
    <t>Km190+000-Km194+000</t>
  </si>
  <si>
    <t>Đường Cấp IV miền núi, Mặt đường Bê tông nhựa, bề rộng mặt đường 10,5m</t>
  </si>
  <si>
    <t>Đường Cấp V miền núi, Mặt đường Bê tông nhựa, bề rộng mặt đường từ 6,5m-7,5m</t>
  </si>
  <si>
    <t>Km250+800-Km255+000</t>
  </si>
  <si>
    <t>Đường Cấp V miền núi, Mặt đường Bê tông xi măng, bề rộng mặt đường 5,0m</t>
  </si>
  <si>
    <t>Km272+000-Km286+400</t>
  </si>
  <si>
    <t>Đường Cấp V miền núi, Mặt đường Láng nhựa, bề rộng mặt đường 6,5m</t>
  </si>
  <si>
    <t>Km194+620</t>
  </si>
  <si>
    <t>Km251+000</t>
  </si>
  <si>
    <t>Đi qua nội thị thị trấn Si Ma Cai</t>
  </si>
  <si>
    <t>Km193+316,80</t>
  </si>
  <si>
    <t>Cầu Km193+316,80</t>
  </si>
  <si>
    <t>Km193+593,50</t>
  </si>
  <si>
    <t>Cầu Km193+593,50</t>
  </si>
  <si>
    <t>Km200+257,00</t>
  </si>
  <si>
    <t>Cầu Bản Phố</t>
  </si>
  <si>
    <t>Km236+349</t>
  </si>
  <si>
    <t>Cầu Sông Chảy</t>
  </si>
  <si>
    <t>Km244+319</t>
  </si>
  <si>
    <t>Cầu Bản Mế</t>
  </si>
  <si>
    <t>Km248+469</t>
  </si>
  <si>
    <t>Cầu Hảo Chư Phùng</t>
  </si>
  <si>
    <t>Km274+971</t>
  </si>
  <si>
    <t>Cầu Lùng Phình 2</t>
  </si>
  <si>
    <t>Km276+576</t>
  </si>
  <si>
    <t>Cầu Lùng Cải</t>
  </si>
  <si>
    <t>Bản Rằng</t>
  </si>
  <si>
    <t xml:space="preserve"> Pắc O</t>
  </si>
  <si>
    <t>Bản Mạc</t>
  </si>
  <si>
    <t xml:space="preserve">Đao </t>
  </si>
  <si>
    <t>Vàng Vừng</t>
  </si>
  <si>
    <t>Bắc Cuông(Sông Chảy)</t>
  </si>
  <si>
    <t>Làng Mạ</t>
  </si>
  <si>
    <t>Đen</t>
  </si>
  <si>
    <t>Bản Tắp</t>
  </si>
  <si>
    <t>Bản Lúc</t>
  </si>
  <si>
    <t>Bảo Hà 1</t>
  </si>
  <si>
    <t>Bảo Hà 2</t>
  </si>
  <si>
    <t>Cầu Xóm Ranh</t>
  </si>
  <si>
    <t xml:space="preserve">Khe Lếc </t>
  </si>
  <si>
    <t>Khe Chút</t>
  </si>
  <si>
    <t>Làng Mạc</t>
  </si>
  <si>
    <t>Nậm Miện</t>
  </si>
  <si>
    <t>Nậm Cọn</t>
  </si>
  <si>
    <t>Pom Khén</t>
  </si>
  <si>
    <t>Nậm Xây</t>
  </si>
  <si>
    <t>Nậm Liệp</t>
  </si>
  <si>
    <t>Nậm Mu</t>
  </si>
  <si>
    <t>Km89+000 - Km104+000</t>
  </si>
  <si>
    <t>Đường cấp IV miền núi, mặt đường Bê tông nhựa, bề rộng từ 6,5m</t>
  </si>
  <si>
    <t>Km104+000 - Km105+000</t>
  </si>
  <si>
    <t>Đường cấp III miền núi, mặt đường Bê tông nhựa, bề rộng từ 12m</t>
  </si>
  <si>
    <t>Km105+000 - Km137+000</t>
  </si>
  <si>
    <t>Km137+000 - Km140+893</t>
  </si>
  <si>
    <t>Km149+000 - Km200+000</t>
  </si>
  <si>
    <t>Đường Cấp V miền núi, Mặt đường, BTN, Láng nhựa, bề rộng mặt đường từ 5,5m</t>
  </si>
  <si>
    <t>QL.4D</t>
  </si>
  <si>
    <t>QL.4E</t>
  </si>
  <si>
    <t xml:space="preserve">Cổng chào </t>
  </si>
  <si>
    <t>Giá long môn</t>
  </si>
  <si>
    <t>Cầu vượt cao tốc NB - LC</t>
  </si>
  <si>
    <t>Km165+560</t>
  </si>
  <si>
    <t>Km174+680</t>
  </si>
  <si>
    <t>Km187+000</t>
  </si>
  <si>
    <t>Km188+570</t>
  </si>
  <si>
    <t>Km91+870</t>
  </si>
  <si>
    <t>Thác Bạc</t>
  </si>
  <si>
    <t>Km109+550</t>
  </si>
  <si>
    <t>Cầu 32</t>
  </si>
  <si>
    <t>Km110+500</t>
  </si>
  <si>
    <t>Cầu 31</t>
  </si>
  <si>
    <t>H13 -X60</t>
  </si>
  <si>
    <t>Km112+026</t>
  </si>
  <si>
    <t>Cầu Cạn</t>
  </si>
  <si>
    <t>H30-XB81</t>
  </si>
  <si>
    <t>Km119+050</t>
  </si>
  <si>
    <t>Móng Sến</t>
  </si>
  <si>
    <t>Km122+190</t>
  </si>
  <si>
    <t>Km131+360</t>
  </si>
  <si>
    <t>Cốc San</t>
  </si>
  <si>
    <t>Km140+500</t>
  </si>
  <si>
    <t>Cốc Lếu</t>
  </si>
  <si>
    <t>Km149+100</t>
  </si>
  <si>
    <t>Bản Phiệt</t>
  </si>
  <si>
    <t>Km161+250</t>
  </si>
  <si>
    <t>Bản Lầu</t>
  </si>
  <si>
    <t>Km171+290</t>
  </si>
  <si>
    <t>Chợ Chậu</t>
  </si>
  <si>
    <t>Km178+660</t>
  </si>
  <si>
    <t>Bản Khương</t>
  </si>
  <si>
    <t>Km191+121</t>
  </si>
  <si>
    <t>Sao Đỏ</t>
  </si>
  <si>
    <t>Sửa chữa năm 2016</t>
  </si>
  <si>
    <t>Km17+497</t>
  </si>
  <si>
    <t>Km0+00 - Km04+000</t>
  </si>
  <si>
    <t>V-MN</t>
  </si>
  <si>
    <t>Km4+000 - Km28+000</t>
  </si>
  <si>
    <t>Km28+000 - Km30+189</t>
  </si>
  <si>
    <t>Đường chưa vào cấp mặt đường đường 9m</t>
  </si>
  <si>
    <t>Km30+189 - Km54+00</t>
  </si>
  <si>
    <t>Km54+00 - Km63+957,63</t>
  </si>
  <si>
    <t>XVII</t>
  </si>
  <si>
    <t>7+(2x1)</t>
  </si>
  <si>
    <t>2x10,25</t>
  </si>
  <si>
    <t>8+(3x2)</t>
  </si>
  <si>
    <t>2x19,25</t>
  </si>
  <si>
    <t xml:space="preserve">Tình trạng khổ giới hạn </t>
  </si>
  <si>
    <t>Đường miền núi cấp IV mặt đường láng nhựa bề rộng trung bình 6,5m</t>
  </si>
  <si>
    <t>Đường miền núi cấp IV mặt đường BTN bề rộng trung bình 6,5m</t>
  </si>
  <si>
    <t>Km3+500-Km16+600</t>
  </si>
  <si>
    <t>Km3+00-Km3+500</t>
  </si>
  <si>
    <t>Km0+00-Km3+00</t>
  </si>
  <si>
    <t>QL 4E</t>
  </si>
  <si>
    <t>Cầu Trung Đô</t>
  </si>
  <si>
    <t>Cầu Bảo Nhai</t>
  </si>
  <si>
    <t>Cầu Duyên Hải</t>
  </si>
  <si>
    <t>H13 - X60</t>
  </si>
  <si>
    <t>28-43-45</t>
  </si>
  <si>
    <t>Cầu Bản Vai</t>
  </si>
  <si>
    <t>Cầu Bản Vược</t>
  </si>
  <si>
    <t>Cầu Ngòi Phát</t>
  </si>
  <si>
    <t>Cầu Tân Long</t>
  </si>
  <si>
    <t>Cầu  Bản Mạc</t>
  </si>
  <si>
    <t>Cầu Trịnh Tường</t>
  </si>
  <si>
    <t>Cầu Nậm Chạc</t>
  </si>
  <si>
    <t>Có biển cấm xe tải 12T</t>
  </si>
  <si>
    <t>Km26+760</t>
  </si>
  <si>
    <t>Cầu BTCT (cầu Hoàng Thu Phố)</t>
  </si>
  <si>
    <t>Km32+400</t>
  </si>
  <si>
    <t>Km66+595</t>
  </si>
  <si>
    <t>Km73+102</t>
  </si>
  <si>
    <t>Km88+750</t>
  </si>
  <si>
    <t>Cầu vượt cao tốc</t>
  </si>
  <si>
    <t>Cổng chào</t>
  </si>
  <si>
    <t>Km0+400</t>
  </si>
  <si>
    <t>Km25+910,91</t>
  </si>
  <si>
    <t>Km18+665</t>
  </si>
  <si>
    <t xml:space="preserve"> Km17+230</t>
  </si>
  <si>
    <t>Ngầm tràn Nậm Mu</t>
  </si>
  <si>
    <t>Ngầm tràn Nậm Mả</t>
  </si>
  <si>
    <t>Ngầm tràn Nậm Cọm</t>
  </si>
  <si>
    <t>Km10+220</t>
  </si>
  <si>
    <t>Km85+377</t>
  </si>
  <si>
    <t>Cầu O Tròn</t>
  </si>
  <si>
    <t>Có biển cấm xe tải 10T</t>
  </si>
  <si>
    <t>Cầu Ô Mão</t>
  </si>
  <si>
    <t>H13XB60</t>
  </si>
  <si>
    <t>Cầu Nậm Cáy</t>
  </si>
  <si>
    <t>Km194+000-Km250+800</t>
  </si>
  <si>
    <t>Km255+000-Km272+000</t>
  </si>
  <si>
    <t>Km39+000 - Km66+500</t>
  </si>
  <si>
    <t>Km81+300 - Km88+700</t>
  </si>
  <si>
    <t>Ghi chú:</t>
  </si>
  <si>
    <t>2. Số hiệu thứ nhất XX là giới hạn khối lượng toàn bộ xe ô tô tải</t>
  </si>
  <si>
    <t>3. Số hiệu thứ hai YY là giới hạn khối lượng toàn bộ xe ô tô đầu kéo kéo sơ- mi-rơ-moóc;</t>
  </si>
  <si>
    <t>4. Số hiệu thứ ba ZZ là giới hạn khối lượng toàn bộ xe ô tô kéo rơ-moóc.</t>
  </si>
  <si>
    <t>- KGH: Không giới hạn</t>
  </si>
  <si>
    <t>Km16+600-Km35+600</t>
  </si>
  <si>
    <t>Km35+600-Km36+975</t>
  </si>
  <si>
    <t>Km36+975-Km37+557</t>
  </si>
  <si>
    <t>Km37+557-Km46+357</t>
  </si>
  <si>
    <t>Km46+357-Km48+857</t>
  </si>
  <si>
    <t>Km48+857-Km57+857</t>
  </si>
  <si>
    <t>Km57+857-Km58+857</t>
  </si>
  <si>
    <t>Km58+857-Km59+857</t>
  </si>
  <si>
    <t>Km59+857-Km62+557</t>
  </si>
  <si>
    <t>Đường cấp III miền núi, mặt đường Bê tông nhựa, bề rộng 6,5m</t>
  </si>
  <si>
    <t>Km62+557-Km65+607</t>
  </si>
  <si>
    <t>Km65+607-Km70+107</t>
  </si>
  <si>
    <t>Km70+107-Km71+207</t>
  </si>
  <si>
    <t>Km71+207-Km79+757</t>
  </si>
  <si>
    <t>Km79+757-Km82+957</t>
  </si>
  <si>
    <t>Km82+957-Km83+607</t>
  </si>
  <si>
    <t>Km83+607-Km85+107</t>
  </si>
  <si>
    <t>Đường cấp III miền núi, mặt đường Bê tông xi măng, bề rộng 9,5m</t>
  </si>
  <si>
    <t>Km85+107-Km103+357</t>
  </si>
  <si>
    <t>Đường cấp III miền núi, mặt đường Bê tông nhựa, bề rộng 14m</t>
  </si>
  <si>
    <t>Km103+357 - Km138+607</t>
  </si>
  <si>
    <t>Đường miền núi cấp IV mặt đường BTN bề rộng trung bình 5,5m</t>
  </si>
  <si>
    <t>Km140+893-Km149+000</t>
  </si>
  <si>
    <t>Km238+00 - Km239+700</t>
  </si>
  <si>
    <t>Km239+700 - Km243+500</t>
  </si>
  <si>
    <t>Km243+500 - Km249+850</t>
  </si>
  <si>
    <t>Km249+850 - Km250+500</t>
  </si>
  <si>
    <t>Km271+000-Km273+700</t>
  </si>
  <si>
    <t>Đường cấp III miền núi, mặt đường Bê tông nhựa, bề rộng mặt đường từ 10,5m</t>
  </si>
  <si>
    <t>Km273+700 - Km284+600</t>
  </si>
  <si>
    <t>Đường cấp III Miền Núi, mặt đường Bê tông nhựa chiều bề rộng mặt đường từ 10,5 m</t>
  </si>
  <si>
    <t>Km284+600-Km316+000</t>
  </si>
  <si>
    <t>Km43+500 - Km47+100</t>
  </si>
  <si>
    <t>Km47+100 - Km55+700</t>
  </si>
  <si>
    <t>Km55+700 - Km78+500</t>
  </si>
  <si>
    <t>Km0 - Km27+500</t>
  </si>
  <si>
    <t>Km2+200-Km18+000</t>
  </si>
  <si>
    <t>Đường cấp IV miền núi, mặt đường Láng nhựa, bề rộng mặt đường từ 5,5m</t>
  </si>
  <si>
    <t>Km20+00 - Km52+000</t>
  </si>
  <si>
    <t>1. ký hiệu KCB: không cắm biển.</t>
  </si>
  <si>
    <t>6.5</t>
  </si>
  <si>
    <t>Đường cấp III miền núi, mặt đường Láng nhựa, bề rộng 30m</t>
  </si>
  <si>
    <t>Điểm đầu</t>
  </si>
  <si>
    <t>Điểm cuối</t>
  </si>
  <si>
    <t>Giao QL.4D (Xã Mường Khương)</t>
  </si>
  <si>
    <t>Giáp tỉnh Tuyên Quang (xã Tả Củ Tỷ)</t>
  </si>
  <si>
    <t>Giáp tỉnh Lai Châu (Phường Sa Pa)</t>
  </si>
  <si>
    <t>Cửa khẩu Sín Tẻn (xã Mường Khương)</t>
  </si>
  <si>
    <t>Giao QL.4 (xã Lùng Phình)</t>
  </si>
  <si>
    <t>Cột cờ Lũng Pô (xã A Mú Sung)</t>
  </si>
  <si>
    <t>Giáp tỉnh Tuyên Quang (xã Nghĩa Đô)</t>
  </si>
  <si>
    <t>Giáp tỉnh Lai Châu (xã Nậm Xé)</t>
  </si>
  <si>
    <t>Giáp tỉnh Sơn La (xã Thượng Bằng La)</t>
  </si>
  <si>
    <t>Giáp tỉnh Phú Thọ (xã Thác Bà)</t>
  </si>
  <si>
    <t>Giáp tỉnh Phú Thọ (xã Yên Bình)</t>
  </si>
  <si>
    <t>Cửa khẩu Quốc tế</t>
  </si>
  <si>
    <t>Giáp tỉnh Phú Thọ (phường Âu Lâu)</t>
  </si>
  <si>
    <t>Giao QL.37 (phường Âu Lâu)</t>
  </si>
  <si>
    <t>Giáp tỉnh Lai Châu (xã Khao Mang)</t>
  </si>
  <si>
    <t>Giao QL.4E (xã Gia Phú)</t>
  </si>
  <si>
    <t>Giao QL,279 (xã Văn Bàn)</t>
  </si>
  <si>
    <t>Giao ĐT.151 (xã Võ Lao)</t>
  </si>
  <si>
    <t>Xã Phong Dụ Hạ</t>
  </si>
  <si>
    <t>Giao QL.4E (xã Bảo Thắng)</t>
  </si>
  <si>
    <t>Đấu nối vào điểm cuối ĐT.163 (xã Châu Quế)</t>
  </si>
  <si>
    <t>Giao QL.4D (phường Sa Pa)</t>
  </si>
  <si>
    <t>Giao ĐT.152 (xã Bản Hồ)</t>
  </si>
  <si>
    <t>Giao QL.279 (xã Dương Quỳ)</t>
  </si>
  <si>
    <t>Giao QL.279 (xã Nghĩa Đô)</t>
  </si>
  <si>
    <t>Giao ĐT.154 (xã Bảo Nhai)</t>
  </si>
  <si>
    <t>Giao QL.70 (Phường Lào Cai)</t>
  </si>
  <si>
    <t>Giao QL.70 (xã Xuân Quang)</t>
  </si>
  <si>
    <t>Giao ĐT.158 (xã Dền Sáng)</t>
  </si>
  <si>
    <t>Giao QL.4D (xã Cốc San)</t>
  </si>
  <si>
    <t>Xã Quang Kim</t>
  </si>
  <si>
    <t>Giao ĐT.158 (xã Y Tý)</t>
  </si>
  <si>
    <t>Cửa khẩu Bản Vược</t>
  </si>
  <si>
    <t>Giao ĐT.155 (xã Dền Sáng)</t>
  </si>
  <si>
    <t>Giao QL.4E (Phường Lào Cai)</t>
  </si>
  <si>
    <t>Giao QL.4E (xã A Mú Sung)</t>
  </si>
  <si>
    <t>Giáp tỉnh Lai Châu (xã Dền Sáng)</t>
  </si>
  <si>
    <t>Cửa khẩu Hóa Chư Phùng (xã Si Ma Cai)</t>
  </si>
  <si>
    <t>Giao ĐT.153 (xã Bản Liền)</t>
  </si>
  <si>
    <t>Giao QL.4E (phường Cam Đường)</t>
  </si>
  <si>
    <t>Xã Tân Lĩnh</t>
  </si>
  <si>
    <t>Giao QL.279 (xã Văn Bàn)</t>
  </si>
  <si>
    <t>Giao ĐT.151C (xã Bảo Thắng)</t>
  </si>
  <si>
    <t>Giao QL.37 (phường Yên Bái)</t>
  </si>
  <si>
    <t>Giao ĐT.163 (xã Đông Cuông)</t>
  </si>
  <si>
    <t>Đấu nối ĐT.161 (xã Bảo Hà)</t>
  </si>
  <si>
    <t>Giao ĐT.163 (xã Mậu A)</t>
  </si>
  <si>
    <t>Giao QL.37 (xã Thác Bà)</t>
  </si>
  <si>
    <t>Giao ĐT.171 (xã Lục Yên)</t>
  </si>
  <si>
    <t>Giao QL.70 (xã Khánh Hòa)</t>
  </si>
  <si>
    <t>Giáp tỉnh Tuyên Quang (xã Lục Yên)</t>
  </si>
  <si>
    <t>Giáp tỉnh Phú Thọ (xã Nghĩa Tâm)</t>
  </si>
  <si>
    <t>Đấu nối ĐT.164 (xã Lâm Giang)</t>
  </si>
  <si>
    <t>Đấu nối ĐT.151C (xã Bảo Hà)</t>
  </si>
  <si>
    <t>Giao QL.70 (xã Bảo Ái)</t>
  </si>
  <si>
    <t>Giao QL.37 (xã Chấn Thịnh)</t>
  </si>
  <si>
    <t>Giao ĐT.172 (xã Chấn Thịnh)</t>
  </si>
  <si>
    <t>Giao QL.32 xã Nghĩa Tâm</t>
  </si>
  <si>
    <t>Giao QL.32 (Phường Trung Tâm)</t>
  </si>
  <si>
    <t>Giao ĐT.166 (xã Mậu A)</t>
  </si>
  <si>
    <t>Giao QL.32 xã Liên Sơn</t>
  </si>
  <si>
    <t>Giao QL.32 xã Púng Luông</t>
  </si>
  <si>
    <t xml:space="preserve">Xã Púng Luông (giáp tỉnh Sơn La) </t>
  </si>
  <si>
    <t>Xã Hạnh Phúc</t>
  </si>
  <si>
    <t>Giao ĐT.174 (xã Hạnh Phúc)</t>
  </si>
  <si>
    <t>Xã Hạnh Phúc (giáp tỉnh Sơn La)</t>
  </si>
  <si>
    <t>Giao ĐT.173 (xã Chấn Thịnh)</t>
  </si>
  <si>
    <t>xã Chấn Thịnh (giáp tỉnh Phú Thọ)</t>
  </si>
  <si>
    <t>Giao QL.32 (xã Văn Chấn)</t>
  </si>
  <si>
    <t>Xã Văn Chấn</t>
  </si>
  <si>
    <t>Xã Quy Mông</t>
  </si>
  <si>
    <t>Xã Yên Bình</t>
  </si>
  <si>
    <t>Phường Nam Cường</t>
  </si>
  <si>
    <t>Phường Yên Bái</t>
  </si>
  <si>
    <t>Cầu và Đường Hai Đầu Cầu Cổ Phúc</t>
  </si>
  <si>
    <t>Cầu và Đường hai đầu cầu Bách Lẫm</t>
  </si>
  <si>
    <t>Cầu và Đường hai đầu cầu Tuần Quán</t>
  </si>
  <si>
    <t>Đường cấp V miền núi, mặt đường láng nhựa, bề rộng mặt đường từ 5,5-7,0m</t>
  </si>
  <si>
    <t>C</t>
  </si>
  <si>
    <t>Xã Việt Hồng</t>
  </si>
  <si>
    <t>Đường nối QL.32 với ĐT.174</t>
  </si>
  <si>
    <t>Đường nối QL.32C với IC12 và các nhánh rẽ</t>
  </si>
  <si>
    <t>IC12 (phường Âu Lâu)</t>
  </si>
  <si>
    <t>Giao QL.32C (phường Âu Lâu)</t>
  </si>
  <si>
    <t>Tên đường</t>
  </si>
  <si>
    <t>Lý trình đầu đoạn</t>
  </si>
  <si>
    <t>Lý trình cuối đoạn</t>
  </si>
  <si>
    <t>Đường gom đường cao tốc Nội Bài - Lào Cai</t>
  </si>
  <si>
    <t>Rộng mặt max</t>
  </si>
  <si>
    <t>Rộng mặt min</t>
  </si>
  <si>
    <t>7.5</t>
  </si>
  <si>
    <t>11</t>
  </si>
  <si>
    <t>12</t>
  </si>
  <si>
    <t>10.5</t>
  </si>
  <si>
    <t>7.0</t>
  </si>
  <si>
    <t>5.5</t>
  </si>
  <si>
    <t>3.5</t>
  </si>
  <si>
    <t>5.0</t>
  </si>
  <si>
    <t>15.0</t>
  </si>
  <si>
    <t>4.5</t>
  </si>
  <si>
    <t>8.0</t>
  </si>
  <si>
    <t>Km190+000</t>
  </si>
  <si>
    <t>Km194+000</t>
  </si>
  <si>
    <t>Km250+800</t>
  </si>
  <si>
    <t>Km255+000</t>
  </si>
  <si>
    <t>Km272+000</t>
  </si>
  <si>
    <t>Km286+400</t>
  </si>
  <si>
    <t xml:space="preserve">Km89+000 </t>
  </si>
  <si>
    <t xml:space="preserve"> Km104+000</t>
  </si>
  <si>
    <t xml:space="preserve">Km104+000 </t>
  </si>
  <si>
    <t xml:space="preserve"> Km105+000</t>
  </si>
  <si>
    <t xml:space="preserve">Km105+000 </t>
  </si>
  <si>
    <t xml:space="preserve"> Km137+000</t>
  </si>
  <si>
    <t xml:space="preserve">Km137+000 </t>
  </si>
  <si>
    <t xml:space="preserve"> Km140+893</t>
  </si>
  <si>
    <t>Km140+893</t>
  </si>
  <si>
    <t>Km149+000</t>
  </si>
  <si>
    <t xml:space="preserve">Km149+000 </t>
  </si>
  <si>
    <t xml:space="preserve"> Km200+000</t>
  </si>
  <si>
    <t>Km0+00</t>
  </si>
  <si>
    <t>Km3+00</t>
  </si>
  <si>
    <t>Km3+500</t>
  </si>
  <si>
    <t>Km16+600</t>
  </si>
  <si>
    <t>Km35+600</t>
  </si>
  <si>
    <t>Km36+975</t>
  </si>
  <si>
    <t>Km37+557</t>
  </si>
  <si>
    <t>Km46+357</t>
  </si>
  <si>
    <t>Km48+857</t>
  </si>
  <si>
    <t>Km57+857</t>
  </si>
  <si>
    <t>Km58+857</t>
  </si>
  <si>
    <t>Km59+857</t>
  </si>
  <si>
    <t>Km62+557</t>
  </si>
  <si>
    <t>Km65+607</t>
  </si>
  <si>
    <t>Km70+107</t>
  </si>
  <si>
    <t>Km71+207</t>
  </si>
  <si>
    <t>Km79+757</t>
  </si>
  <si>
    <t>Km82+957</t>
  </si>
  <si>
    <t>Km83+607</t>
  </si>
  <si>
    <t>Km85+107</t>
  </si>
  <si>
    <t>Km103+357</t>
  </si>
  <si>
    <t xml:space="preserve">Km103+357 </t>
  </si>
  <si>
    <t xml:space="preserve"> Km138+607</t>
  </si>
  <si>
    <t xml:space="preserve">Km39+000 </t>
  </si>
  <si>
    <t xml:space="preserve"> Km66+500</t>
  </si>
  <si>
    <t xml:space="preserve">Km66+500 </t>
  </si>
  <si>
    <t xml:space="preserve"> Km67+00</t>
  </si>
  <si>
    <t xml:space="preserve">Km67+00 </t>
  </si>
  <si>
    <t xml:space="preserve"> Km68+920</t>
  </si>
  <si>
    <t xml:space="preserve">Km68+920 </t>
  </si>
  <si>
    <t xml:space="preserve"> Km73+390</t>
  </si>
  <si>
    <t xml:space="preserve">Km73+390 </t>
  </si>
  <si>
    <t xml:space="preserve"> Km76+00</t>
  </si>
  <si>
    <t xml:space="preserve">Km76+00 </t>
  </si>
  <si>
    <t xml:space="preserve"> Km77+000</t>
  </si>
  <si>
    <t xml:space="preserve">Km77+00 </t>
  </si>
  <si>
    <t xml:space="preserve"> Km77+300</t>
  </si>
  <si>
    <t xml:space="preserve">Km77+300 </t>
  </si>
  <si>
    <t xml:space="preserve"> Km77+730</t>
  </si>
  <si>
    <t xml:space="preserve">Km77+730 </t>
  </si>
  <si>
    <t xml:space="preserve"> Km79+420</t>
  </si>
  <si>
    <t xml:space="preserve">Km79+420 </t>
  </si>
  <si>
    <t xml:space="preserve"> Km79+900</t>
  </si>
  <si>
    <t xml:space="preserve">Km79+900 </t>
  </si>
  <si>
    <t xml:space="preserve"> Km81+100</t>
  </si>
  <si>
    <t xml:space="preserve">Km81+100 </t>
  </si>
  <si>
    <t xml:space="preserve"> Km81+300</t>
  </si>
  <si>
    <t xml:space="preserve">Km81+300 </t>
  </si>
  <si>
    <t xml:space="preserve"> Km88+700</t>
  </si>
  <si>
    <t xml:space="preserve">Km88+700 </t>
  </si>
  <si>
    <t xml:space="preserve"> Km91+00</t>
  </si>
  <si>
    <t xml:space="preserve">Km91+00 </t>
  </si>
  <si>
    <t xml:space="preserve"> Km157+500</t>
  </si>
  <si>
    <t xml:space="preserve">Km238+00 </t>
  </si>
  <si>
    <t xml:space="preserve"> Km239+700</t>
  </si>
  <si>
    <t xml:space="preserve">Km239+700 </t>
  </si>
  <si>
    <t xml:space="preserve"> Km243+500</t>
  </si>
  <si>
    <t xml:space="preserve">Km243+500 </t>
  </si>
  <si>
    <t xml:space="preserve"> Km249+850</t>
  </si>
  <si>
    <t xml:space="preserve">Km249+850 </t>
  </si>
  <si>
    <t xml:space="preserve"> Km250+500</t>
  </si>
  <si>
    <t>Km271+000</t>
  </si>
  <si>
    <t>Km273+700</t>
  </si>
  <si>
    <t xml:space="preserve">Km273+700 </t>
  </si>
  <si>
    <t xml:space="preserve"> Km284+600</t>
  </si>
  <si>
    <t>Km284+600</t>
  </si>
  <si>
    <t>Km316+000</t>
  </si>
  <si>
    <t>Km 316+000</t>
  </si>
  <si>
    <t>Km 320+000</t>
  </si>
  <si>
    <t>Km 322+800</t>
  </si>
  <si>
    <t xml:space="preserve"> Km 329+500</t>
  </si>
  <si>
    <t>Km 329+500</t>
  </si>
  <si>
    <t xml:space="preserve"> Km 330+000</t>
  </si>
  <si>
    <t>Km 330+000</t>
  </si>
  <si>
    <t>Km 355+000</t>
  </si>
  <si>
    <t xml:space="preserve">Km25A+000 </t>
  </si>
  <si>
    <t xml:space="preserve"> Km109+000</t>
  </si>
  <si>
    <t>Km109+000</t>
  </si>
  <si>
    <t>Km119+600</t>
  </si>
  <si>
    <t>Km123+200</t>
  </si>
  <si>
    <t>Km124+200</t>
  </si>
  <si>
    <t>Km189+000</t>
  </si>
  <si>
    <t>Km79+000</t>
  </si>
  <si>
    <t>Km87+500</t>
  </si>
  <si>
    <t>Km96+500</t>
  </si>
  <si>
    <t>Km90+765</t>
  </si>
  <si>
    <t>Km94+400</t>
  </si>
  <si>
    <t>Km106+000</t>
  </si>
  <si>
    <t>Km118+765</t>
  </si>
  <si>
    <t>Km147+000</t>
  </si>
  <si>
    <t>Km162+000</t>
  </si>
  <si>
    <t>Km 172+000</t>
  </si>
  <si>
    <t xml:space="preserve"> Km 184+000</t>
  </si>
  <si>
    <t>Km 184+000</t>
  </si>
  <si>
    <t xml:space="preserve"> Km 185+000</t>
  </si>
  <si>
    <t>Km 185+000</t>
  </si>
  <si>
    <t xml:space="preserve"> Km 191+300</t>
  </si>
  <si>
    <t>Km 191+300</t>
  </si>
  <si>
    <t>Km193+500</t>
  </si>
  <si>
    <t>Km 197+000</t>
  </si>
  <si>
    <t>Km204+568</t>
  </si>
  <si>
    <t>Km 211+000</t>
  </si>
  <si>
    <t>Km214+00</t>
  </si>
  <si>
    <t>Km 234+329</t>
  </si>
  <si>
    <t>Km 236+143</t>
  </si>
  <si>
    <t>Km 253+000</t>
  </si>
  <si>
    <t>Km 255+000</t>
  </si>
  <si>
    <t>Km 284+600</t>
  </si>
  <si>
    <t>Km 285+800</t>
  </si>
  <si>
    <t>Km 300+800</t>
  </si>
  <si>
    <t>Km 305+400</t>
  </si>
  <si>
    <t>Km 313+000</t>
  </si>
  <si>
    <t>Km 314+000</t>
  </si>
  <si>
    <t>Km 332+000</t>
  </si>
  <si>
    <t>Km0</t>
  </si>
  <si>
    <t>Km7+500</t>
  </si>
  <si>
    <t>Km28</t>
  </si>
  <si>
    <t>Km37+800</t>
  </si>
  <si>
    <t>Km50+600</t>
  </si>
  <si>
    <t>Km0+786</t>
  </si>
  <si>
    <t>Km28+00</t>
  </si>
  <si>
    <t>Km37+600</t>
  </si>
  <si>
    <t>Km14+400</t>
  </si>
  <si>
    <t>Km13+300</t>
  </si>
  <si>
    <t>Km21+698</t>
  </si>
  <si>
    <t>Km45+750</t>
  </si>
  <si>
    <t>Km54+100</t>
  </si>
  <si>
    <t xml:space="preserve">Km0+00 </t>
  </si>
  <si>
    <t xml:space="preserve"> Km13+00</t>
  </si>
  <si>
    <t xml:space="preserve">Km13+00 </t>
  </si>
  <si>
    <t>Km41+00</t>
  </si>
  <si>
    <t xml:space="preserve">Km0 </t>
  </si>
  <si>
    <t xml:space="preserve"> Km18,3</t>
  </si>
  <si>
    <t xml:space="preserve">Km18,3 </t>
  </si>
  <si>
    <t xml:space="preserve"> Km21+100</t>
  </si>
  <si>
    <t xml:space="preserve">Km21+100 </t>
  </si>
  <si>
    <t xml:space="preserve"> Km26+100</t>
  </si>
  <si>
    <t xml:space="preserve">Km26+100 </t>
  </si>
  <si>
    <t xml:space="preserve"> Km69+100</t>
  </si>
  <si>
    <t>Km2+900</t>
  </si>
  <si>
    <t>Km8+500</t>
  </si>
  <si>
    <t>Km17+00</t>
  </si>
  <si>
    <t>Km54+00</t>
  </si>
  <si>
    <t>Km90+00</t>
  </si>
  <si>
    <t>Km109+00</t>
  </si>
  <si>
    <t>Km15</t>
  </si>
  <si>
    <t>Km43+500</t>
  </si>
  <si>
    <t xml:space="preserve">Km43+500 </t>
  </si>
  <si>
    <t xml:space="preserve"> Km47+100</t>
  </si>
  <si>
    <t xml:space="preserve">Km47+100 </t>
  </si>
  <si>
    <t xml:space="preserve"> Km55+700</t>
  </si>
  <si>
    <t xml:space="preserve">Km55+700 </t>
  </si>
  <si>
    <t xml:space="preserve"> Km78+500</t>
  </si>
  <si>
    <t xml:space="preserve"> Km27+500</t>
  </si>
  <si>
    <t xml:space="preserve">Km27+500 </t>
  </si>
  <si>
    <t xml:space="preserve"> Km58</t>
  </si>
  <si>
    <t>Km18+400</t>
  </si>
  <si>
    <t>Km1+970</t>
  </si>
  <si>
    <t>Km23+420</t>
  </si>
  <si>
    <t>Km25+820</t>
  </si>
  <si>
    <t>Km41+820</t>
  </si>
  <si>
    <t>Km56+440</t>
  </si>
  <si>
    <t>Km10+200</t>
  </si>
  <si>
    <t xml:space="preserve">Km10+200 </t>
  </si>
  <si>
    <t xml:space="preserve"> Km16+00</t>
  </si>
  <si>
    <t xml:space="preserve">Km16+00 </t>
  </si>
  <si>
    <t xml:space="preserve"> Km28+00</t>
  </si>
  <si>
    <t>Km41+500</t>
  </si>
  <si>
    <t xml:space="preserve">Km41+500 </t>
  </si>
  <si>
    <t xml:space="preserve"> Km71+200</t>
  </si>
  <si>
    <t>Km12</t>
  </si>
  <si>
    <t xml:space="preserve">Km12 </t>
  </si>
  <si>
    <t xml:space="preserve"> Km13+240</t>
  </si>
  <si>
    <t xml:space="preserve">Km13+420 </t>
  </si>
  <si>
    <t xml:space="preserve"> Km21+420</t>
  </si>
  <si>
    <t xml:space="preserve">Km21+420 </t>
  </si>
  <si>
    <t xml:space="preserve"> Km28+420</t>
  </si>
  <si>
    <t xml:space="preserve">Km28+420 </t>
  </si>
  <si>
    <t xml:space="preserve"> Km40+420</t>
  </si>
  <si>
    <t xml:space="preserve">Km40+420 </t>
  </si>
  <si>
    <t xml:space="preserve"> Km45+420</t>
  </si>
  <si>
    <t xml:space="preserve">Km45+420 </t>
  </si>
  <si>
    <t xml:space="preserve"> Km49+420</t>
  </si>
  <si>
    <t xml:space="preserve">Km49+420 </t>
  </si>
  <si>
    <t xml:space="preserve"> Km61+020</t>
  </si>
  <si>
    <t xml:space="preserve">Km61+020 </t>
  </si>
  <si>
    <t xml:space="preserve"> Km67+750</t>
  </si>
  <si>
    <t xml:space="preserve">Km67+750 </t>
  </si>
  <si>
    <t xml:space="preserve"> Km97+250</t>
  </si>
  <si>
    <t xml:space="preserve">Km97+250 </t>
  </si>
  <si>
    <t xml:space="preserve"> Km97+850</t>
  </si>
  <si>
    <t xml:space="preserve"> Km47+00</t>
  </si>
  <si>
    <t xml:space="preserve">Km47+00 </t>
  </si>
  <si>
    <t xml:space="preserve"> Km58+200</t>
  </si>
  <si>
    <t xml:space="preserve">Km58+200 </t>
  </si>
  <si>
    <t xml:space="preserve"> Km70+00</t>
  </si>
  <si>
    <t xml:space="preserve">Km70+00 </t>
  </si>
  <si>
    <t xml:space="preserve"> Km81+00</t>
  </si>
  <si>
    <t>Km81+00</t>
  </si>
  <si>
    <t xml:space="preserve"> Km88+00</t>
  </si>
  <si>
    <t xml:space="preserve">Km88+00 </t>
  </si>
  <si>
    <t xml:space="preserve"> Km99+00</t>
  </si>
  <si>
    <t>Km99+00</t>
  </si>
  <si>
    <t>Km106+00</t>
  </si>
  <si>
    <t>Km110+00</t>
  </si>
  <si>
    <t xml:space="preserve"> Km04+000</t>
  </si>
  <si>
    <t xml:space="preserve">Km4+000 </t>
  </si>
  <si>
    <t xml:space="preserve"> Km28+000</t>
  </si>
  <si>
    <t xml:space="preserve">Km28+000 </t>
  </si>
  <si>
    <t xml:space="preserve"> Km30+189</t>
  </si>
  <si>
    <t xml:space="preserve">Km30+189 </t>
  </si>
  <si>
    <t xml:space="preserve"> Km54+00</t>
  </si>
  <si>
    <t xml:space="preserve">Km54+00 </t>
  </si>
  <si>
    <t xml:space="preserve"> Km63+957,63</t>
  </si>
  <si>
    <t>Km32+600</t>
  </si>
  <si>
    <t>Km33+00</t>
  </si>
  <si>
    <t>Km39+745</t>
  </si>
  <si>
    <t>Km5+900</t>
  </si>
  <si>
    <t>Km56+800</t>
  </si>
  <si>
    <t>Km85</t>
  </si>
  <si>
    <t>Km20+500</t>
  </si>
  <si>
    <t xml:space="preserve"> Km2+200</t>
  </si>
  <si>
    <t>Km2+200</t>
  </si>
  <si>
    <t>Km18+000</t>
  </si>
  <si>
    <t xml:space="preserve"> Km5</t>
  </si>
  <si>
    <t xml:space="preserve">Km5 </t>
  </si>
  <si>
    <t xml:space="preserve"> Km9+200</t>
  </si>
  <si>
    <t xml:space="preserve">Km9+200 </t>
  </si>
  <si>
    <t xml:space="preserve"> Km42+518</t>
  </si>
  <si>
    <t xml:space="preserve">K42+518 </t>
  </si>
  <si>
    <t xml:space="preserve"> Km52+00</t>
  </si>
  <si>
    <t xml:space="preserve"> Km1+300</t>
  </si>
  <si>
    <t xml:space="preserve">Km1+300 </t>
  </si>
  <si>
    <t xml:space="preserve"> Km5+000</t>
  </si>
  <si>
    <t>Km5+000</t>
  </si>
  <si>
    <t>Km36+000</t>
  </si>
  <si>
    <t>Km76+000</t>
  </si>
  <si>
    <t xml:space="preserve">Km76+000 </t>
  </si>
  <si>
    <t xml:space="preserve"> Km77+400</t>
  </si>
  <si>
    <t>Km2</t>
  </si>
  <si>
    <t xml:space="preserve">Km0 + 00 </t>
  </si>
  <si>
    <t xml:space="preserve"> Km1+000</t>
  </si>
  <si>
    <t>Km1+000</t>
  </si>
  <si>
    <t>Km10+000</t>
  </si>
  <si>
    <t>Km12+000</t>
  </si>
  <si>
    <t>Km20+600</t>
  </si>
  <si>
    <t>Km27+000</t>
  </si>
  <si>
    <t>Km34+200</t>
  </si>
  <si>
    <t>Km0+000</t>
  </si>
  <si>
    <t>Km8+700</t>
  </si>
  <si>
    <t>Km18+700</t>
  </si>
  <si>
    <t>Km26+000</t>
  </si>
  <si>
    <t>Km5+630</t>
  </si>
  <si>
    <t>Km31+370</t>
  </si>
  <si>
    <t>Km33+000</t>
  </si>
  <si>
    <t xml:space="preserve"> Km20+000</t>
  </si>
  <si>
    <t xml:space="preserve">Km20+00 </t>
  </si>
  <si>
    <t xml:space="preserve"> Km52+000</t>
  </si>
  <si>
    <t>Km19+500</t>
  </si>
  <si>
    <t>Km2+207</t>
  </si>
  <si>
    <t>Km16+00</t>
  </si>
  <si>
    <t>Km6+814</t>
  </si>
  <si>
    <t>Km8+090</t>
  </si>
  <si>
    <t>Km12+084</t>
  </si>
  <si>
    <t>Km18+365</t>
  </si>
  <si>
    <t xml:space="preserve"> Km11+300</t>
  </si>
  <si>
    <t>Km1+800</t>
  </si>
  <si>
    <t xml:space="preserve"> Km5+400</t>
  </si>
  <si>
    <t xml:space="preserve">Km5+400 </t>
  </si>
  <si>
    <t xml:space="preserve"> Km8+000</t>
  </si>
  <si>
    <t>Km5+600</t>
  </si>
  <si>
    <t>Km10+500</t>
  </si>
  <si>
    <t>Km7+300</t>
  </si>
  <si>
    <t>Km1+890</t>
  </si>
  <si>
    <t>Km6+800</t>
  </si>
  <si>
    <t>Km7+600</t>
  </si>
  <si>
    <t>Km12+200</t>
  </si>
  <si>
    <t>Km2+000</t>
  </si>
  <si>
    <t>Km2+030</t>
  </si>
  <si>
    <t>Km49+117</t>
  </si>
  <si>
    <t>Đoạn Sâu Chua - Hầu Thào (Hàm Rồng - Cầu Mây). Đường chưa vào cấp, mặt đường Láng nhựa, BTXM bề rộng từ 4m</t>
  </si>
  <si>
    <t>Cầu Mây</t>
  </si>
  <si>
    <t>Km0-Km0+786</t>
  </si>
  <si>
    <t>ĐƯỜNG TỈNH</t>
  </si>
  <si>
    <t>QUỐC LỘ</t>
  </si>
  <si>
    <t>ĐƯỜNG XÃ</t>
  </si>
  <si>
    <t>Km55+00</t>
  </si>
  <si>
    <t>Thông tin</t>
  </si>
  <si>
    <t>Cấp đường</t>
  </si>
  <si>
    <t>Năm hoàn thành</t>
  </si>
  <si>
    <t>Chiều dài quản lý (Km)</t>
  </si>
  <si>
    <t>Đi chung Quốc lộ 70</t>
  </si>
  <si>
    <t>Đi chung với QL.70</t>
  </si>
  <si>
    <t>Đi chung với QL.4D</t>
  </si>
  <si>
    <t>Đi chung với ĐT.151</t>
  </si>
  <si>
    <t>Đi chung với ĐT.173</t>
  </si>
  <si>
    <t>Đoạn đi chung</t>
  </si>
  <si>
    <t>Đi chung với QL.4E</t>
  </si>
  <si>
    <t>Đi chung với QL.4</t>
  </si>
  <si>
    <t>Đi chung với QL.279</t>
  </si>
  <si>
    <t>Đi chung với với QL.37</t>
  </si>
  <si>
    <t>Đi chung với QL 4D</t>
  </si>
  <si>
    <t>Tình trạng</t>
  </si>
  <si>
    <t>Tốt</t>
  </si>
  <si>
    <t>Đang bảo trì</t>
  </si>
  <si>
    <t>Trung bình</t>
  </si>
  <si>
    <t>Tạm đóng</t>
  </si>
  <si>
    <t>Thi công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</si>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</sst>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##_);\(##\)"/>
    <numFmt numFmtId="166" formatCode="&quot;Km&quot;0\+000"/>
    <numFmt numFmtId="167" formatCode="&quot;Km&quot;##\+###"/>
    <numFmt numFmtId="168" formatCode="&quot;Km&quot;00&quot;+&quot;000"/>
    <numFmt numFmtId="169" formatCode="&quot;Km&quot;000&quot;+&quot;000"/>
    <numFmt numFmtId="170" formatCode="##.00_);\(##.00\)"/>
    <numFmt numFmtId="171" formatCode="&quot;Km&quot;00\+000"/>
  </numFmts>
  <fonts count="44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.VnTime"/>
      <family val="2"/>
    </font>
    <font>
      <sz val="12"/>
      <name val=".VnTime"/>
      <family val="2"/>
    </font>
    <font>
      <sz val="12"/>
      <color rgb="FFFF0000"/>
      <name val="Times New Roman"/>
      <family val="1"/>
    </font>
    <font>
      <sz val="12"/>
      <color rgb="FFFF0000"/>
      <name val="Times New Roman"/>
      <family val="2"/>
      <charset val="163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0"/>
      <name val="VNI-Times"/>
    </font>
    <font>
      <sz val="10"/>
      <name val="Arial"/>
      <family val="2"/>
    </font>
    <font>
      <sz val="11"/>
      <color indexed="64"/>
      <name val="Calibri"/>
      <family val="2"/>
    </font>
    <font>
      <sz val="12"/>
      <color rgb="FF000000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name val="Times New Roman"/>
      <family val="1"/>
      <charset val="163"/>
    </font>
    <font>
      <b/>
      <sz val="12"/>
      <color indexed="8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2"/>
      <color rgb="FF7030A0"/>
      <name val="Times New Roman"/>
      <family val="1"/>
    </font>
    <font>
      <sz val="13"/>
      <color rgb="FF7030A0"/>
      <name val="Times New Roman"/>
      <family val="1"/>
    </font>
    <font>
      <b/>
      <sz val="12"/>
      <color rgb="FF7030A0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7030A0"/>
      <name val="Times New Roman"/>
      <family val="1"/>
    </font>
    <font>
      <sz val="14"/>
      <name val="Times New Roman"/>
      <family val="1"/>
    </font>
    <font>
      <sz val="12"/>
      <color rgb="FF00B0F0"/>
      <name val="Times New Roman"/>
      <family val="1"/>
    </font>
    <font>
      <sz val="13"/>
      <color rgb="FF00B0F0"/>
      <name val="Times New Roman"/>
      <family val="1"/>
    </font>
    <font>
      <sz val="14"/>
      <color rgb="FF00B0F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7" fillId="0" borderId="0"/>
    <xf numFmtId="0" fontId="10" fillId="0" borderId="0"/>
    <xf numFmtId="0" fontId="11" fillId="0" borderId="0"/>
    <xf numFmtId="0" fontId="12" fillId="0" borderId="0"/>
    <xf numFmtId="0" fontId="18" fillId="0" borderId="0"/>
    <xf numFmtId="164" fontId="10" fillId="0" borderId="0"/>
    <xf numFmtId="0" fontId="19" fillId="0" borderId="0"/>
    <xf numFmtId="0" fontId="2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</cellStyleXfs>
  <cellXfs count="2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71" fontId="9" fillId="0" borderId="1" xfId="1" applyNumberFormat="1" applyFont="1" applyBorder="1" applyAlignment="1">
      <alignment horizontal="center" vertical="center"/>
    </xf>
    <xf numFmtId="0" fontId="9" fillId="0" borderId="1" xfId="12" applyFont="1" applyBorder="1" applyAlignment="1">
      <alignment horizontal="center" vertical="center" wrapText="1"/>
    </xf>
    <xf numFmtId="0" fontId="9" fillId="0" borderId="1" xfId="9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8" fontId="1" fillId="0" borderId="1" xfId="2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9" fillId="0" borderId="1" xfId="4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168" fontId="28" fillId="0" borderId="1" xfId="12" applyNumberFormat="1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9" fillId="8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165" fontId="30" fillId="4" borderId="4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/>
    </xf>
    <xf numFmtId="165" fontId="31" fillId="2" borderId="1" xfId="0" applyNumberFormat="1" applyFont="1" applyFill="1" applyBorder="1" applyAlignment="1">
      <alignment horizontal="center" vertical="center" wrapText="1"/>
    </xf>
    <xf numFmtId="165" fontId="31" fillId="2" borderId="4" xfId="0" applyNumberFormat="1" applyFont="1" applyFill="1" applyBorder="1" applyAlignment="1">
      <alignment horizontal="center" vertical="center" wrapText="1"/>
    </xf>
    <xf numFmtId="170" fontId="31" fillId="2" borderId="4" xfId="0" applyNumberFormat="1" applyFont="1" applyFill="1" applyBorder="1" applyAlignment="1">
      <alignment horizontal="center" vertical="center" wrapText="1"/>
    </xf>
    <xf numFmtId="170" fontId="31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 wrapText="1"/>
    </xf>
    <xf numFmtId="1" fontId="9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" xfId="1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2" fontId="15" fillId="0" borderId="1" xfId="1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2" fontId="9" fillId="0" borderId="1" xfId="1" applyNumberFormat="1" applyFont="1" applyBorder="1" applyAlignment="1">
      <alignment horizontal="left" vertical="center" wrapText="1"/>
    </xf>
    <xf numFmtId="2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5" fontId="3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2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/>
    </xf>
    <xf numFmtId="2" fontId="1" fillId="0" borderId="1" xfId="0" quotePrefix="1" applyNumberFormat="1" applyFont="1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2" fontId="13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left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165" fontId="16" fillId="0" borderId="1" xfId="0" applyNumberFormat="1" applyFont="1" applyBorder="1" applyAlignment="1">
      <alignment horizontal="left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2" fontId="16" fillId="0" borderId="1" xfId="1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left" vertical="center"/>
    </xf>
    <xf numFmtId="1" fontId="16" fillId="0" borderId="1" xfId="0" applyNumberFormat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" fontId="1" fillId="5" borderId="1" xfId="1" applyNumberFormat="1" applyFont="1" applyFill="1" applyBorder="1" applyAlignment="1">
      <alignment horizontal="center" vertical="center" wrapText="1"/>
    </xf>
    <xf numFmtId="2" fontId="1" fillId="5" borderId="1" xfId="1" applyNumberFormat="1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 wrapText="1"/>
    </xf>
    <xf numFmtId="165" fontId="33" fillId="0" borderId="1" xfId="0" applyNumberFormat="1" applyFont="1" applyBorder="1" applyAlignment="1">
      <alignment horizontal="left" vertical="center" wrapText="1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3" fillId="0" borderId="1" xfId="1" applyNumberFormat="1" applyFont="1" applyBorder="1" applyAlignment="1">
      <alignment horizontal="left" vertical="center" wrapText="1"/>
    </xf>
    <xf numFmtId="1" fontId="33" fillId="0" borderId="1" xfId="1" applyNumberFormat="1" applyFont="1" applyBorder="1" applyAlignment="1">
      <alignment horizontal="center" vertical="center" wrapText="1"/>
    </xf>
    <xf numFmtId="2" fontId="33" fillId="0" borderId="1" xfId="1" applyNumberFormat="1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left" vertical="center" wrapText="1"/>
    </xf>
    <xf numFmtId="1" fontId="33" fillId="0" borderId="0" xfId="1" applyNumberFormat="1" applyFont="1" applyAlignment="1">
      <alignment horizontal="center" vertical="center" wrapText="1"/>
    </xf>
    <xf numFmtId="2" fontId="33" fillId="0" borderId="1" xfId="0" applyNumberFormat="1" applyFont="1" applyBorder="1" applyAlignment="1">
      <alignment horizontal="left" vertical="center"/>
    </xf>
    <xf numFmtId="2" fontId="35" fillId="0" borderId="1" xfId="0" applyNumberFormat="1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65" fontId="37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5" fontId="36" fillId="0" borderId="1" xfId="0" applyNumberFormat="1" applyFont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 wrapText="1"/>
    </xf>
    <xf numFmtId="2" fontId="40" fillId="0" borderId="1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 wrapText="1"/>
    </xf>
    <xf numFmtId="2" fontId="41" fillId="0" borderId="1" xfId="0" applyNumberFormat="1" applyFont="1" applyBorder="1" applyAlignment="1">
      <alignment horizontal="left" vertical="center"/>
    </xf>
    <xf numFmtId="0" fontId="41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center" vertical="center" wrapText="1"/>
    </xf>
    <xf numFmtId="1" fontId="41" fillId="0" borderId="1" xfId="1" applyNumberFormat="1" applyFont="1" applyBorder="1" applyAlignment="1">
      <alignment horizontal="center" vertical="center" wrapText="1"/>
    </xf>
    <xf numFmtId="2" fontId="41" fillId="0" borderId="1" xfId="1" applyNumberFormat="1" applyFont="1" applyBorder="1" applyAlignment="1">
      <alignment horizontal="center" vertical="center" wrapText="1"/>
    </xf>
    <xf numFmtId="2" fontId="41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</cellXfs>
  <cellStyles count="14">
    <cellStyle name="_KT (2)_2_TG-TH_Sheet3" xfId="5" xr:uid="{00000000-0005-0000-0000-000000000000}"/>
    <cellStyle name="Comma 2" xfId="6" xr:uid="{00000000-0005-0000-0000-000002000000}"/>
    <cellStyle name="Normal" xfId="0" builtinId="0"/>
    <cellStyle name="Normal 10" xfId="7" xr:uid="{00000000-0005-0000-0000-000004000000}"/>
    <cellStyle name="Normal 11" xfId="8" xr:uid="{00000000-0005-0000-0000-000005000000}"/>
    <cellStyle name="Normal 2" xfId="1" xr:uid="{00000000-0005-0000-0000-000006000000}"/>
    <cellStyle name="Normal 2 2" xfId="3" xr:uid="{00000000-0005-0000-0000-000007000000}"/>
    <cellStyle name="Normal 2 2 2" xfId="9" xr:uid="{00000000-0005-0000-0000-000008000000}"/>
    <cellStyle name="Normal 2 2 4" xfId="10" xr:uid="{00000000-0005-0000-0000-000009000000}"/>
    <cellStyle name="Normal 2 4" xfId="11" xr:uid="{00000000-0005-0000-0000-00000A000000}"/>
    <cellStyle name="Normal 3" xfId="12" xr:uid="{00000000-0005-0000-0000-00000B000000}"/>
    <cellStyle name="Normal 3 2" xfId="13" xr:uid="{00000000-0005-0000-0000-00000C000000}"/>
    <cellStyle name="Normal 7" xfId="2" xr:uid="{00000000-0005-0000-0000-00000D000000}"/>
    <cellStyle name="Normal_Sheet1 2" xfId="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476250</xdr:colOff>
      <xdr:row>260</xdr:row>
      <xdr:rowOff>333375</xdr:rowOff>
    </xdr:from>
    <xdr:to>
      <xdr:col>22</xdr:col>
      <xdr:colOff>458442</xdr:colOff>
      <xdr:row>267</xdr:row>
      <xdr:rowOff>228807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DEFCD-1C95-4AE3-B615-F87013B77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4475" y="17811750"/>
          <a:ext cx="8897592" cy="148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zoomScale="55" zoomScaleNormal="55" zoomScaleSheetLayoutView="58" workbookViewId="0">
      <pane xSplit="1" ySplit="1" topLeftCell="B215" activePane="bottomRight" state="frozen"/>
      <selection pane="topRight" activeCell="B1" sqref="B1"/>
      <selection pane="bottomLeft" activeCell="A2" sqref="A2"/>
      <selection pane="bottomRight" activeCell="L170" sqref="L170"/>
    </sheetView>
  </sheetViews>
  <sheetFormatPr defaultColWidth="9" defaultRowHeight="34.950000000000003" customHeight="1" x14ac:dyDescent="0.3"/>
  <cols>
    <col min="1" max="1" width="9" style="5" bestFit="1" customWidth="1"/>
    <col min="2" max="2" width="30.19921875" style="118" customWidth="1"/>
    <col min="3" max="3" width="24.5" style="118" customWidth="1"/>
    <col min="4" max="4" width="29.796875" style="5" customWidth="1"/>
    <col min="5" max="5" width="25.59765625" style="102" customWidth="1"/>
    <col min="6" max="6" width="21.3984375" style="5" customWidth="1"/>
    <col min="7" max="7" width="22.69921875" style="5" customWidth="1"/>
    <col min="8" max="8" width="28.8984375" style="5" customWidth="1"/>
    <col min="9" max="9" width="24.69921875" style="115" customWidth="1"/>
    <col min="10" max="10" width="25.5" style="5" customWidth="1"/>
    <col min="11" max="11" width="19.3984375" style="5" bestFit="1" customWidth="1"/>
    <col min="12" max="12" width="32.59765625" style="5" customWidth="1"/>
    <col min="13" max="13" width="20.59765625" style="5" customWidth="1"/>
    <col min="14" max="14" width="94.59765625" style="189" bestFit="1" customWidth="1"/>
    <col min="15" max="16384" width="9" style="5"/>
  </cols>
  <sheetData>
    <row r="1" spans="1:14" ht="34.950000000000003" customHeight="1" x14ac:dyDescent="0.3">
      <c r="A1" s="150" t="s">
        <v>0</v>
      </c>
      <c r="B1" s="150" t="s">
        <v>1257</v>
      </c>
      <c r="C1" s="150" t="s">
        <v>1258</v>
      </c>
      <c r="D1" s="150" t="s">
        <v>1259</v>
      </c>
      <c r="E1" s="151" t="s">
        <v>1581</v>
      </c>
      <c r="F1" s="150" t="s">
        <v>1171</v>
      </c>
      <c r="G1" s="150" t="s">
        <v>1172</v>
      </c>
      <c r="H1" s="152" t="s">
        <v>1580</v>
      </c>
      <c r="I1" s="153" t="s">
        <v>1582</v>
      </c>
      <c r="J1" s="150" t="s">
        <v>1262</v>
      </c>
      <c r="K1" s="150" t="s">
        <v>1261</v>
      </c>
      <c r="L1" s="150" t="s">
        <v>1588</v>
      </c>
      <c r="M1" s="150" t="s">
        <v>1594</v>
      </c>
      <c r="N1" s="177" t="s">
        <v>1579</v>
      </c>
    </row>
    <row r="2" spans="1:14" ht="34.950000000000003" customHeight="1" x14ac:dyDescent="0.3">
      <c r="A2" s="150" t="s">
        <v>807</v>
      </c>
      <c r="B2" s="150" t="s">
        <v>1576</v>
      </c>
      <c r="C2" s="150"/>
      <c r="D2" s="150"/>
      <c r="E2" s="151"/>
      <c r="F2" s="150"/>
      <c r="G2" s="150"/>
      <c r="H2" s="152"/>
      <c r="I2" s="153"/>
      <c r="J2" s="150"/>
      <c r="K2" s="150"/>
      <c r="L2" s="150"/>
      <c r="M2" s="150"/>
      <c r="N2" s="177"/>
    </row>
    <row r="3" spans="1:14" ht="34.950000000000003" customHeight="1" x14ac:dyDescent="0.3">
      <c r="A3" s="131" t="s">
        <v>245</v>
      </c>
      <c r="B3" s="132" t="s">
        <v>971</v>
      </c>
      <c r="C3" s="132"/>
      <c r="D3" s="133"/>
      <c r="E3" s="125">
        <v>2014</v>
      </c>
      <c r="F3" s="133"/>
      <c r="G3" s="133"/>
      <c r="H3" s="126"/>
      <c r="I3" s="133">
        <v>96.4</v>
      </c>
      <c r="J3" s="149"/>
      <c r="K3" s="149"/>
      <c r="L3" s="149"/>
      <c r="M3" s="149"/>
      <c r="N3" s="178"/>
    </row>
    <row r="4" spans="1:14" ht="34.950000000000003" customHeight="1" x14ac:dyDescent="0.3">
      <c r="A4" s="9">
        <v>1</v>
      </c>
      <c r="B4" s="147" t="s">
        <v>972</v>
      </c>
      <c r="C4" s="147" t="s">
        <v>1274</v>
      </c>
      <c r="D4" s="6" t="s">
        <v>1275</v>
      </c>
      <c r="E4" s="93"/>
      <c r="F4" s="97" t="s">
        <v>1173</v>
      </c>
      <c r="G4" s="97"/>
      <c r="H4" s="27" t="s">
        <v>248</v>
      </c>
      <c r="I4" s="99">
        <v>4</v>
      </c>
      <c r="J4" s="77">
        <v>10.5</v>
      </c>
      <c r="K4" s="6">
        <v>10.5</v>
      </c>
      <c r="L4" s="6"/>
      <c r="M4" s="6" t="s">
        <v>1595</v>
      </c>
      <c r="N4" s="179" t="s">
        <v>973</v>
      </c>
    </row>
    <row r="5" spans="1:14" ht="34.950000000000003" customHeight="1" x14ac:dyDescent="0.3">
      <c r="A5" s="9">
        <v>2</v>
      </c>
      <c r="B5" s="147" t="s">
        <v>1120</v>
      </c>
      <c r="C5" s="147" t="s">
        <v>1275</v>
      </c>
      <c r="D5" s="6" t="s">
        <v>1276</v>
      </c>
      <c r="E5" s="93"/>
      <c r="F5" s="97"/>
      <c r="G5" s="97"/>
      <c r="H5" s="27" t="s">
        <v>249</v>
      </c>
      <c r="I5" s="99">
        <v>56.8</v>
      </c>
      <c r="J5" s="77" t="s">
        <v>1169</v>
      </c>
      <c r="K5" s="6" t="s">
        <v>1263</v>
      </c>
      <c r="L5" s="6"/>
      <c r="M5" s="6" t="s">
        <v>1595</v>
      </c>
      <c r="N5" s="179" t="s">
        <v>974</v>
      </c>
    </row>
    <row r="6" spans="1:14" ht="34.950000000000003" customHeight="1" x14ac:dyDescent="0.3">
      <c r="A6" s="9">
        <v>3</v>
      </c>
      <c r="B6" s="147" t="s">
        <v>975</v>
      </c>
      <c r="C6" s="147" t="s">
        <v>1276</v>
      </c>
      <c r="D6" s="6" t="s">
        <v>1277</v>
      </c>
      <c r="E6" s="93"/>
      <c r="F6" s="97"/>
      <c r="G6" s="97"/>
      <c r="H6" s="27" t="s">
        <v>249</v>
      </c>
      <c r="I6" s="99">
        <v>4.2</v>
      </c>
      <c r="J6" s="77">
        <v>5</v>
      </c>
      <c r="K6" s="6">
        <v>5</v>
      </c>
      <c r="L6" s="6"/>
      <c r="M6" s="6" t="s">
        <v>1595</v>
      </c>
      <c r="N6" s="179" t="s">
        <v>976</v>
      </c>
    </row>
    <row r="7" spans="1:14" ht="34.950000000000003" customHeight="1" x14ac:dyDescent="0.3">
      <c r="A7" s="9">
        <v>4</v>
      </c>
      <c r="B7" s="147" t="s">
        <v>1121</v>
      </c>
      <c r="C7" s="147" t="s">
        <v>1277</v>
      </c>
      <c r="D7" s="6" t="s">
        <v>1278</v>
      </c>
      <c r="E7" s="93"/>
      <c r="F7" s="97"/>
      <c r="G7" s="97"/>
      <c r="H7" s="27" t="s">
        <v>249</v>
      </c>
      <c r="I7" s="99">
        <v>17</v>
      </c>
      <c r="J7" s="77" t="s">
        <v>1169</v>
      </c>
      <c r="K7" s="6" t="s">
        <v>1263</v>
      </c>
      <c r="L7" s="6"/>
      <c r="M7" s="6" t="s">
        <v>1595</v>
      </c>
      <c r="N7" s="179" t="s">
        <v>974</v>
      </c>
    </row>
    <row r="8" spans="1:14" ht="34.950000000000003" customHeight="1" x14ac:dyDescent="0.3">
      <c r="A8" s="9">
        <v>5</v>
      </c>
      <c r="B8" s="147" t="s">
        <v>977</v>
      </c>
      <c r="C8" s="147" t="s">
        <v>1278</v>
      </c>
      <c r="D8" s="6" t="s">
        <v>1279</v>
      </c>
      <c r="E8" s="93"/>
      <c r="F8" s="97"/>
      <c r="G8" s="97" t="s">
        <v>1174</v>
      </c>
      <c r="H8" s="27" t="s">
        <v>249</v>
      </c>
      <c r="I8" s="99">
        <v>14.4</v>
      </c>
      <c r="J8" s="77">
        <v>6.5</v>
      </c>
      <c r="K8" s="6">
        <v>6.5</v>
      </c>
      <c r="L8" s="6"/>
      <c r="M8" s="6" t="s">
        <v>1595</v>
      </c>
      <c r="N8" s="179" t="s">
        <v>978</v>
      </c>
    </row>
    <row r="9" spans="1:14" ht="34.950000000000003" customHeight="1" x14ac:dyDescent="0.3">
      <c r="A9" s="134" t="s">
        <v>564</v>
      </c>
      <c r="B9" s="135" t="s">
        <v>1028</v>
      </c>
      <c r="C9" s="148"/>
      <c r="D9" s="130"/>
      <c r="E9" s="125">
        <v>2015</v>
      </c>
      <c r="F9" s="136"/>
      <c r="G9" s="136"/>
      <c r="H9" s="136"/>
      <c r="I9" s="133">
        <v>103.1</v>
      </c>
      <c r="J9" s="77"/>
      <c r="K9" s="6"/>
      <c r="L9" s="6"/>
      <c r="M9" s="6"/>
      <c r="N9" s="180"/>
    </row>
    <row r="10" spans="1:14" ht="34.950000000000003" customHeight="1" x14ac:dyDescent="0.3">
      <c r="A10" s="26">
        <v>1</v>
      </c>
      <c r="B10" s="117" t="s">
        <v>1020</v>
      </c>
      <c r="C10" s="147" t="s">
        <v>1280</v>
      </c>
      <c r="D10" s="6" t="s">
        <v>1281</v>
      </c>
      <c r="E10" s="92"/>
      <c r="F10" s="26" t="s">
        <v>1175</v>
      </c>
      <c r="G10" s="26"/>
      <c r="H10" s="26" t="s">
        <v>248</v>
      </c>
      <c r="I10" s="100">
        <v>15</v>
      </c>
      <c r="J10" s="77">
        <v>6.5</v>
      </c>
      <c r="K10" s="6">
        <v>6.5</v>
      </c>
      <c r="L10" s="6"/>
      <c r="M10" s="6" t="s">
        <v>1595</v>
      </c>
      <c r="N10" s="179" t="s">
        <v>1021</v>
      </c>
    </row>
    <row r="11" spans="1:14" ht="34.950000000000003" customHeight="1" x14ac:dyDescent="0.3">
      <c r="A11" s="26">
        <v>2</v>
      </c>
      <c r="B11" s="117" t="s">
        <v>1022</v>
      </c>
      <c r="C11" s="147" t="s">
        <v>1282</v>
      </c>
      <c r="D11" s="6" t="s">
        <v>1283</v>
      </c>
      <c r="E11" s="92"/>
      <c r="F11" s="26"/>
      <c r="G11" s="26"/>
      <c r="H11" s="26" t="s">
        <v>247</v>
      </c>
      <c r="I11" s="100">
        <v>1</v>
      </c>
      <c r="J11" s="77">
        <v>12</v>
      </c>
      <c r="K11" s="6">
        <v>12</v>
      </c>
      <c r="L11" s="6"/>
      <c r="M11" s="6" t="s">
        <v>1595</v>
      </c>
      <c r="N11" s="179" t="s">
        <v>1023</v>
      </c>
    </row>
    <row r="12" spans="1:14" ht="34.950000000000003" customHeight="1" x14ac:dyDescent="0.3">
      <c r="A12" s="26">
        <v>3</v>
      </c>
      <c r="B12" s="117" t="s">
        <v>1024</v>
      </c>
      <c r="C12" s="147" t="s">
        <v>1284</v>
      </c>
      <c r="D12" s="6" t="s">
        <v>1285</v>
      </c>
      <c r="E12" s="92"/>
      <c r="F12" s="26"/>
      <c r="G12" s="26"/>
      <c r="H12" s="26" t="s">
        <v>248</v>
      </c>
      <c r="I12" s="100">
        <v>32</v>
      </c>
      <c r="J12" s="77" t="s">
        <v>1169</v>
      </c>
      <c r="K12" s="6" t="s">
        <v>1169</v>
      </c>
      <c r="L12" s="6"/>
      <c r="M12" s="6" t="s">
        <v>1595</v>
      </c>
      <c r="N12" s="179" t="s">
        <v>1021</v>
      </c>
    </row>
    <row r="13" spans="1:14" ht="34.950000000000003" customHeight="1" x14ac:dyDescent="0.3">
      <c r="A13" s="26">
        <v>4</v>
      </c>
      <c r="B13" s="117" t="s">
        <v>1025</v>
      </c>
      <c r="C13" s="147" t="s">
        <v>1286</v>
      </c>
      <c r="D13" s="6" t="s">
        <v>1287</v>
      </c>
      <c r="E13" s="92"/>
      <c r="F13" s="26"/>
      <c r="G13" s="26"/>
      <c r="H13" s="26" t="s">
        <v>247</v>
      </c>
      <c r="I13" s="100">
        <v>3.89</v>
      </c>
      <c r="J13" s="77">
        <v>12</v>
      </c>
      <c r="K13" s="6">
        <v>12</v>
      </c>
      <c r="L13" s="6"/>
      <c r="M13" s="6" t="s">
        <v>1595</v>
      </c>
      <c r="N13" s="179" t="s">
        <v>1023</v>
      </c>
    </row>
    <row r="14" spans="1:14" s="167" customFormat="1" ht="34.950000000000003" customHeight="1" x14ac:dyDescent="0.3">
      <c r="A14" s="160">
        <v>5</v>
      </c>
      <c r="B14" s="161" t="s">
        <v>1151</v>
      </c>
      <c r="C14" s="162" t="s">
        <v>1288</v>
      </c>
      <c r="D14" s="163" t="s">
        <v>1289</v>
      </c>
      <c r="E14" s="164"/>
      <c r="F14" s="160"/>
      <c r="G14" s="160"/>
      <c r="H14" s="160"/>
      <c r="I14" s="165"/>
      <c r="J14" s="166"/>
      <c r="K14" s="163"/>
      <c r="L14" s="181" t="str">
        <f>N14</f>
        <v>Đi chung Quốc lộ 70</v>
      </c>
      <c r="M14" s="6" t="s">
        <v>1595</v>
      </c>
      <c r="N14" s="178" t="s">
        <v>1583</v>
      </c>
    </row>
    <row r="15" spans="1:14" ht="34.950000000000003" customHeight="1" x14ac:dyDescent="0.3">
      <c r="A15" s="26">
        <v>6</v>
      </c>
      <c r="B15" s="117" t="s">
        <v>1026</v>
      </c>
      <c r="C15" s="147" t="s">
        <v>1290</v>
      </c>
      <c r="D15" s="6" t="s">
        <v>1291</v>
      </c>
      <c r="E15" s="92"/>
      <c r="F15" s="26"/>
      <c r="G15" s="26" t="s">
        <v>1176</v>
      </c>
      <c r="H15" s="26" t="s">
        <v>249</v>
      </c>
      <c r="I15" s="100">
        <v>51.21</v>
      </c>
      <c r="J15" s="77">
        <v>5.5</v>
      </c>
      <c r="K15" s="6">
        <v>5.5</v>
      </c>
      <c r="L15" s="181"/>
      <c r="M15" s="6" t="s">
        <v>1595</v>
      </c>
      <c r="N15" s="179" t="s">
        <v>1027</v>
      </c>
    </row>
    <row r="16" spans="1:14" ht="34.950000000000003" customHeight="1" x14ac:dyDescent="0.3">
      <c r="A16" s="137" t="s">
        <v>247</v>
      </c>
      <c r="B16" s="138" t="s">
        <v>1029</v>
      </c>
      <c r="C16" s="148"/>
      <c r="D16" s="130"/>
      <c r="E16" s="127">
        <v>2016</v>
      </c>
      <c r="F16" s="128"/>
      <c r="G16" s="128"/>
      <c r="H16" s="128"/>
      <c r="I16" s="133">
        <v>134.06</v>
      </c>
      <c r="J16" s="77"/>
      <c r="K16" s="6"/>
      <c r="L16" s="181"/>
      <c r="M16" s="181"/>
      <c r="N16" s="178"/>
    </row>
    <row r="17" spans="1:14" ht="34.950000000000003" customHeight="1" x14ac:dyDescent="0.3">
      <c r="A17" s="3">
        <v>1</v>
      </c>
      <c r="B17" s="106" t="s">
        <v>1083</v>
      </c>
      <c r="C17" s="147" t="s">
        <v>1292</v>
      </c>
      <c r="D17" s="6" t="s">
        <v>1293</v>
      </c>
      <c r="E17" s="93"/>
      <c r="F17" s="97" t="s">
        <v>1177</v>
      </c>
      <c r="G17" s="97"/>
      <c r="H17" s="3" t="s">
        <v>248</v>
      </c>
      <c r="I17" s="98">
        <v>3</v>
      </c>
      <c r="J17" s="77"/>
      <c r="K17" s="6"/>
      <c r="L17" s="181"/>
      <c r="M17" s="181" t="s">
        <v>1596</v>
      </c>
      <c r="N17" s="182" t="s">
        <v>283</v>
      </c>
    </row>
    <row r="18" spans="1:14" ht="34.950000000000003" customHeight="1" x14ac:dyDescent="0.3">
      <c r="A18" s="3">
        <v>2</v>
      </c>
      <c r="B18" s="106" t="s">
        <v>1082</v>
      </c>
      <c r="C18" s="147" t="s">
        <v>1293</v>
      </c>
      <c r="D18" s="6" t="s">
        <v>1294</v>
      </c>
      <c r="E18" s="93"/>
      <c r="F18" s="97"/>
      <c r="G18" s="97"/>
      <c r="H18" s="3" t="s">
        <v>248</v>
      </c>
      <c r="I18" s="98">
        <v>0.5</v>
      </c>
      <c r="J18" s="77">
        <v>6.5</v>
      </c>
      <c r="K18" s="6">
        <v>6.5</v>
      </c>
      <c r="L18" s="182"/>
      <c r="M18" s="182" t="s">
        <v>1595</v>
      </c>
      <c r="N18" s="179" t="s">
        <v>1079</v>
      </c>
    </row>
    <row r="19" spans="1:14" ht="34.950000000000003" customHeight="1" x14ac:dyDescent="0.3">
      <c r="A19" s="3">
        <v>3</v>
      </c>
      <c r="B19" s="106" t="s">
        <v>1081</v>
      </c>
      <c r="C19" s="147" t="s">
        <v>1294</v>
      </c>
      <c r="D19" s="6" t="s">
        <v>1295</v>
      </c>
      <c r="E19" s="93"/>
      <c r="F19" s="97"/>
      <c r="G19" s="97"/>
      <c r="H19" s="3" t="s">
        <v>248</v>
      </c>
      <c r="I19" s="98">
        <v>13.100000000000001</v>
      </c>
      <c r="J19" s="77"/>
      <c r="K19" s="6"/>
      <c r="L19" s="181"/>
      <c r="M19" s="181" t="s">
        <v>1596</v>
      </c>
      <c r="N19" s="182" t="s">
        <v>283</v>
      </c>
    </row>
    <row r="20" spans="1:14" ht="34.950000000000003" customHeight="1" x14ac:dyDescent="0.3">
      <c r="A20" s="3">
        <v>4</v>
      </c>
      <c r="B20" s="106" t="s">
        <v>1129</v>
      </c>
      <c r="C20" s="147" t="s">
        <v>1295</v>
      </c>
      <c r="D20" s="6" t="s">
        <v>1296</v>
      </c>
      <c r="E20" s="93"/>
      <c r="F20" s="97"/>
      <c r="G20" s="97"/>
      <c r="H20" s="3" t="s">
        <v>248</v>
      </c>
      <c r="I20" s="101">
        <v>19</v>
      </c>
      <c r="J20" s="77">
        <v>6.5</v>
      </c>
      <c r="K20" s="6">
        <v>6.5</v>
      </c>
      <c r="L20" s="182"/>
      <c r="M20" s="182" t="s">
        <v>1595</v>
      </c>
      <c r="N20" s="179" t="s">
        <v>1080</v>
      </c>
    </row>
    <row r="21" spans="1:14" s="167" customFormat="1" ht="34.950000000000003" customHeight="1" x14ac:dyDescent="0.3">
      <c r="A21" s="168">
        <v>5</v>
      </c>
      <c r="B21" s="169" t="s">
        <v>1130</v>
      </c>
      <c r="C21" s="162" t="s">
        <v>1296</v>
      </c>
      <c r="D21" s="163" t="s">
        <v>1297</v>
      </c>
      <c r="E21" s="170"/>
      <c r="F21" s="171"/>
      <c r="G21" s="171"/>
      <c r="H21" s="171"/>
      <c r="I21" s="172"/>
      <c r="J21" s="166"/>
      <c r="K21" s="163"/>
      <c r="L21" s="182" t="str">
        <f>N21</f>
        <v>Đi chung với QL.70</v>
      </c>
      <c r="M21" s="182"/>
      <c r="N21" s="178" t="s">
        <v>1584</v>
      </c>
    </row>
    <row r="22" spans="1:14" ht="34.950000000000003" customHeight="1" x14ac:dyDescent="0.3">
      <c r="A22" s="3">
        <v>6</v>
      </c>
      <c r="B22" s="106" t="s">
        <v>1131</v>
      </c>
      <c r="C22" s="147" t="s">
        <v>1297</v>
      </c>
      <c r="D22" s="6" t="s">
        <v>1298</v>
      </c>
      <c r="E22" s="93"/>
      <c r="F22" s="97"/>
      <c r="G22" s="97"/>
      <c r="H22" s="97" t="s">
        <v>247</v>
      </c>
      <c r="I22" s="98">
        <v>0.6</v>
      </c>
      <c r="J22" s="77">
        <v>11</v>
      </c>
      <c r="K22" s="6">
        <v>11</v>
      </c>
      <c r="L22" s="182"/>
      <c r="M22" s="182" t="s">
        <v>1595</v>
      </c>
      <c r="N22" s="183" t="s">
        <v>882</v>
      </c>
    </row>
    <row r="23" spans="1:14" ht="34.950000000000003" customHeight="1" x14ac:dyDescent="0.3">
      <c r="A23" s="3">
        <v>7</v>
      </c>
      <c r="B23" s="106" t="s">
        <v>1132</v>
      </c>
      <c r="C23" s="147" t="s">
        <v>1298</v>
      </c>
      <c r="D23" s="6" t="s">
        <v>1299</v>
      </c>
      <c r="E23" s="93"/>
      <c r="F23" s="97"/>
      <c r="G23" s="97"/>
      <c r="H23" s="97" t="s">
        <v>248</v>
      </c>
      <c r="I23" s="98">
        <v>8.8000000000000007</v>
      </c>
      <c r="J23" s="77">
        <v>6.5</v>
      </c>
      <c r="K23" s="6">
        <v>6.5</v>
      </c>
      <c r="L23" s="186"/>
      <c r="M23" s="182" t="s">
        <v>1595</v>
      </c>
      <c r="N23" s="183" t="s">
        <v>880</v>
      </c>
    </row>
    <row r="24" spans="1:14" ht="34.950000000000003" customHeight="1" x14ac:dyDescent="0.3">
      <c r="A24" s="3">
        <v>8</v>
      </c>
      <c r="B24" s="106" t="s">
        <v>1133</v>
      </c>
      <c r="C24" s="147" t="s">
        <v>1299</v>
      </c>
      <c r="D24" s="6" t="s">
        <v>1300</v>
      </c>
      <c r="E24" s="93"/>
      <c r="F24" s="97"/>
      <c r="G24" s="97"/>
      <c r="H24" s="97" t="s">
        <v>247</v>
      </c>
      <c r="I24" s="98">
        <v>2.5</v>
      </c>
      <c r="J24" s="77" t="s">
        <v>1264</v>
      </c>
      <c r="K24" s="6" t="s">
        <v>1265</v>
      </c>
      <c r="L24" s="181"/>
      <c r="M24" s="182" t="s">
        <v>1595</v>
      </c>
      <c r="N24" s="183" t="s">
        <v>854</v>
      </c>
    </row>
    <row r="25" spans="1:14" ht="34.950000000000003" customHeight="1" x14ac:dyDescent="0.3">
      <c r="A25" s="3">
        <v>9</v>
      </c>
      <c r="B25" s="106" t="s">
        <v>1134</v>
      </c>
      <c r="C25" s="147" t="s">
        <v>1300</v>
      </c>
      <c r="D25" s="6" t="s">
        <v>1301</v>
      </c>
      <c r="E25" s="93"/>
      <c r="F25" s="97"/>
      <c r="G25" s="97"/>
      <c r="H25" s="97" t="s">
        <v>248</v>
      </c>
      <c r="I25" s="98">
        <v>9</v>
      </c>
      <c r="J25" s="77">
        <v>6.5</v>
      </c>
      <c r="K25" s="6">
        <v>6.5</v>
      </c>
      <c r="L25" s="181"/>
      <c r="M25" s="182" t="s">
        <v>1595</v>
      </c>
      <c r="N25" s="183" t="s">
        <v>880</v>
      </c>
    </row>
    <row r="26" spans="1:14" ht="34.950000000000003" customHeight="1" x14ac:dyDescent="0.3">
      <c r="A26" s="3">
        <v>13</v>
      </c>
      <c r="B26" s="106" t="s">
        <v>1135</v>
      </c>
      <c r="C26" s="147" t="s">
        <v>1301</v>
      </c>
      <c r="D26" s="6" t="s">
        <v>1302</v>
      </c>
      <c r="E26" s="93"/>
      <c r="F26" s="97"/>
      <c r="G26" s="97"/>
      <c r="H26" s="97" t="s">
        <v>247</v>
      </c>
      <c r="I26" s="98">
        <v>1</v>
      </c>
      <c r="J26" s="77">
        <v>11</v>
      </c>
      <c r="K26" s="6">
        <v>11</v>
      </c>
      <c r="L26" s="6"/>
      <c r="M26" s="182" t="s">
        <v>1595</v>
      </c>
      <c r="N26" s="183" t="s">
        <v>882</v>
      </c>
    </row>
    <row r="27" spans="1:14" ht="34.950000000000003" customHeight="1" x14ac:dyDescent="0.3">
      <c r="A27" s="3">
        <v>14</v>
      </c>
      <c r="B27" s="106" t="s">
        <v>1136</v>
      </c>
      <c r="C27" s="147" t="s">
        <v>1302</v>
      </c>
      <c r="D27" s="6" t="s">
        <v>1303</v>
      </c>
      <c r="E27" s="93"/>
      <c r="F27" s="97"/>
      <c r="G27" s="97"/>
      <c r="H27" s="97" t="s">
        <v>248</v>
      </c>
      <c r="I27" s="98">
        <v>1</v>
      </c>
      <c r="J27" s="77">
        <v>6.5</v>
      </c>
      <c r="K27" s="6">
        <v>6.5</v>
      </c>
      <c r="L27" s="6"/>
      <c r="M27" s="182" t="s">
        <v>1595</v>
      </c>
      <c r="N27" s="183" t="s">
        <v>880</v>
      </c>
    </row>
    <row r="28" spans="1:14" ht="34.950000000000003" customHeight="1" x14ac:dyDescent="0.3">
      <c r="A28" s="3">
        <v>15</v>
      </c>
      <c r="B28" s="106" t="s">
        <v>1137</v>
      </c>
      <c r="C28" s="147" t="s">
        <v>1303</v>
      </c>
      <c r="D28" s="6" t="s">
        <v>1304</v>
      </c>
      <c r="E28" s="93"/>
      <c r="F28" s="97"/>
      <c r="G28" s="97"/>
      <c r="H28" s="97" t="s">
        <v>247</v>
      </c>
      <c r="I28" s="101">
        <v>2.7</v>
      </c>
      <c r="J28" s="77">
        <v>6.5</v>
      </c>
      <c r="K28" s="6">
        <v>6.5</v>
      </c>
      <c r="L28" s="6"/>
      <c r="M28" s="182" t="s">
        <v>1595</v>
      </c>
      <c r="N28" s="183" t="s">
        <v>1138</v>
      </c>
    </row>
    <row r="29" spans="1:14" ht="34.950000000000003" customHeight="1" x14ac:dyDescent="0.3">
      <c r="A29" s="3">
        <v>16</v>
      </c>
      <c r="B29" s="106" t="s">
        <v>1139</v>
      </c>
      <c r="C29" s="147" t="s">
        <v>1304</v>
      </c>
      <c r="D29" s="6" t="s">
        <v>1305</v>
      </c>
      <c r="E29" s="93"/>
      <c r="F29" s="97"/>
      <c r="G29" s="97"/>
      <c r="H29" s="97" t="s">
        <v>248</v>
      </c>
      <c r="I29" s="101">
        <v>3.05</v>
      </c>
      <c r="J29" s="77" t="s">
        <v>1169</v>
      </c>
      <c r="K29" s="6" t="s">
        <v>1263</v>
      </c>
      <c r="L29" s="6"/>
      <c r="M29" s="182" t="s">
        <v>1595</v>
      </c>
      <c r="N29" s="183" t="s">
        <v>852</v>
      </c>
    </row>
    <row r="30" spans="1:14" ht="34.950000000000003" customHeight="1" x14ac:dyDescent="0.3">
      <c r="A30" s="3">
        <v>17</v>
      </c>
      <c r="B30" s="106" t="s">
        <v>1140</v>
      </c>
      <c r="C30" s="147" t="s">
        <v>1305</v>
      </c>
      <c r="D30" s="6" t="s">
        <v>1306</v>
      </c>
      <c r="E30" s="93"/>
      <c r="F30" s="97"/>
      <c r="G30" s="97"/>
      <c r="H30" s="97" t="s">
        <v>247</v>
      </c>
      <c r="I30" s="101">
        <v>4.5</v>
      </c>
      <c r="J30" s="77">
        <v>30</v>
      </c>
      <c r="K30" s="6">
        <v>30</v>
      </c>
      <c r="L30" s="6"/>
      <c r="M30" s="182" t="s">
        <v>1595</v>
      </c>
      <c r="N30" s="183" t="s">
        <v>881</v>
      </c>
    </row>
    <row r="31" spans="1:14" ht="34.950000000000003" customHeight="1" x14ac:dyDescent="0.3">
      <c r="A31" s="3">
        <v>18</v>
      </c>
      <c r="B31" s="106" t="s">
        <v>1141</v>
      </c>
      <c r="C31" s="147" t="s">
        <v>1306</v>
      </c>
      <c r="D31" s="6" t="s">
        <v>1307</v>
      </c>
      <c r="E31" s="93"/>
      <c r="F31" s="97"/>
      <c r="G31" s="97"/>
      <c r="H31" s="97" t="s">
        <v>247</v>
      </c>
      <c r="I31" s="98">
        <v>1.1000000000000001</v>
      </c>
      <c r="J31" s="77">
        <v>30</v>
      </c>
      <c r="K31" s="6">
        <v>30</v>
      </c>
      <c r="L31" s="6"/>
      <c r="M31" s="182" t="s">
        <v>1595</v>
      </c>
      <c r="N31" s="183" t="s">
        <v>1170</v>
      </c>
    </row>
    <row r="32" spans="1:14" ht="34.950000000000003" customHeight="1" x14ac:dyDescent="0.3">
      <c r="A32" s="3">
        <v>19</v>
      </c>
      <c r="B32" s="106" t="s">
        <v>1142</v>
      </c>
      <c r="C32" s="147" t="s">
        <v>1307</v>
      </c>
      <c r="D32" s="6" t="s">
        <v>1308</v>
      </c>
      <c r="E32" s="93"/>
      <c r="F32" s="97"/>
      <c r="G32" s="97"/>
      <c r="H32" s="97" t="s">
        <v>247</v>
      </c>
      <c r="I32" s="98">
        <v>8.5500000000000007</v>
      </c>
      <c r="J32" s="77">
        <v>30</v>
      </c>
      <c r="K32" s="6">
        <v>30</v>
      </c>
      <c r="L32" s="6"/>
      <c r="M32" s="182" t="s">
        <v>1595</v>
      </c>
      <c r="N32" s="183" t="s">
        <v>881</v>
      </c>
    </row>
    <row r="33" spans="1:14" s="167" customFormat="1" ht="34.950000000000003" customHeight="1" x14ac:dyDescent="0.3">
      <c r="A33" s="168">
        <v>22</v>
      </c>
      <c r="B33" s="169" t="s">
        <v>1143</v>
      </c>
      <c r="C33" s="162" t="s">
        <v>1308</v>
      </c>
      <c r="D33" s="163" t="s">
        <v>1309</v>
      </c>
      <c r="E33" s="170"/>
      <c r="F33" s="171"/>
      <c r="G33" s="171"/>
      <c r="H33" s="171"/>
      <c r="I33" s="172"/>
      <c r="J33" s="166"/>
      <c r="K33" s="163"/>
      <c r="L33" s="163" t="str">
        <f>N33</f>
        <v>Đi chung với QL.4D</v>
      </c>
      <c r="M33" s="182" t="s">
        <v>1595</v>
      </c>
      <c r="N33" s="178" t="s">
        <v>1585</v>
      </c>
    </row>
    <row r="34" spans="1:14" ht="34.950000000000003" customHeight="1" x14ac:dyDescent="0.3">
      <c r="A34" s="3">
        <v>20</v>
      </c>
      <c r="B34" s="106" t="s">
        <v>1144</v>
      </c>
      <c r="C34" s="147" t="s">
        <v>1309</v>
      </c>
      <c r="D34" s="6" t="s">
        <v>1310</v>
      </c>
      <c r="E34" s="93"/>
      <c r="F34" s="97"/>
      <c r="G34" s="97"/>
      <c r="H34" s="97" t="s">
        <v>247</v>
      </c>
      <c r="I34" s="98">
        <v>0.65</v>
      </c>
      <c r="J34" s="77">
        <v>11</v>
      </c>
      <c r="K34" s="6">
        <v>11</v>
      </c>
      <c r="L34" s="6"/>
      <c r="M34" s="182" t="s">
        <v>1595</v>
      </c>
      <c r="N34" s="183" t="s">
        <v>882</v>
      </c>
    </row>
    <row r="35" spans="1:14" ht="34.950000000000003" customHeight="1" x14ac:dyDescent="0.3">
      <c r="A35" s="3">
        <v>21</v>
      </c>
      <c r="B35" s="106" t="s">
        <v>1145</v>
      </c>
      <c r="C35" s="147" t="s">
        <v>1310</v>
      </c>
      <c r="D35" s="6" t="s">
        <v>1311</v>
      </c>
      <c r="E35" s="93"/>
      <c r="F35" s="97"/>
      <c r="G35" s="97"/>
      <c r="H35" s="97" t="s">
        <v>247</v>
      </c>
      <c r="I35" s="98">
        <v>1.5</v>
      </c>
      <c r="J35" s="77">
        <v>9.5</v>
      </c>
      <c r="K35" s="6">
        <v>9.5</v>
      </c>
      <c r="L35" s="6"/>
      <c r="M35" s="182" t="s">
        <v>1595</v>
      </c>
      <c r="N35" s="183" t="s">
        <v>1146</v>
      </c>
    </row>
    <row r="36" spans="1:14" ht="34.950000000000003" customHeight="1" x14ac:dyDescent="0.3">
      <c r="A36" s="3">
        <v>22</v>
      </c>
      <c r="B36" s="118" t="s">
        <v>1147</v>
      </c>
      <c r="C36" s="147" t="s">
        <v>1311</v>
      </c>
      <c r="D36" s="6" t="s">
        <v>1312</v>
      </c>
      <c r="H36" s="5" t="s">
        <v>247</v>
      </c>
      <c r="I36" s="101">
        <v>18.260000000000002</v>
      </c>
      <c r="J36" s="77">
        <v>14</v>
      </c>
      <c r="K36" s="6">
        <v>14</v>
      </c>
      <c r="L36" s="6"/>
      <c r="M36" s="182" t="s">
        <v>1595</v>
      </c>
      <c r="N36" s="183" t="s">
        <v>1148</v>
      </c>
    </row>
    <row r="37" spans="1:14" ht="34.950000000000003" customHeight="1" x14ac:dyDescent="0.3">
      <c r="A37" s="3">
        <v>23</v>
      </c>
      <c r="B37" s="106" t="s">
        <v>1149</v>
      </c>
      <c r="C37" s="147" t="s">
        <v>1313</v>
      </c>
      <c r="D37" s="6" t="s">
        <v>1314</v>
      </c>
      <c r="E37" s="93"/>
      <c r="F37" s="97"/>
      <c r="G37" s="97" t="s">
        <v>1178</v>
      </c>
      <c r="H37" s="3" t="s">
        <v>248</v>
      </c>
      <c r="I37" s="103">
        <v>35.25</v>
      </c>
      <c r="J37" s="77">
        <v>5.5</v>
      </c>
      <c r="K37" s="6">
        <v>5.5</v>
      </c>
      <c r="L37" s="6"/>
      <c r="M37" s="182" t="s">
        <v>1595</v>
      </c>
      <c r="N37" s="179" t="s">
        <v>1150</v>
      </c>
    </row>
    <row r="38" spans="1:14" ht="34.950000000000003" customHeight="1" x14ac:dyDescent="0.3">
      <c r="A38" s="137" t="s">
        <v>248</v>
      </c>
      <c r="B38" s="138" t="s">
        <v>851</v>
      </c>
      <c r="C38" s="148"/>
      <c r="D38" s="130"/>
      <c r="E38" s="139">
        <v>2012</v>
      </c>
      <c r="F38" s="129"/>
      <c r="G38" s="129"/>
      <c r="H38" s="129"/>
      <c r="I38" s="140">
        <v>121.5</v>
      </c>
      <c r="J38" s="77"/>
      <c r="K38" s="6"/>
      <c r="L38" s="6"/>
      <c r="M38" s="182"/>
      <c r="N38" s="178"/>
    </row>
    <row r="39" spans="1:14" ht="34.950000000000003" customHeight="1" x14ac:dyDescent="0.3">
      <c r="A39" s="3">
        <v>1</v>
      </c>
      <c r="B39" s="119" t="s">
        <v>1122</v>
      </c>
      <c r="C39" s="147" t="s">
        <v>1315</v>
      </c>
      <c r="D39" s="6" t="s">
        <v>1316</v>
      </c>
      <c r="E39" s="93"/>
      <c r="F39" s="97" t="s">
        <v>1179</v>
      </c>
      <c r="G39" s="97"/>
      <c r="H39" s="105" t="s">
        <v>248</v>
      </c>
      <c r="I39" s="98">
        <v>30.5</v>
      </c>
      <c r="J39" s="77" t="s">
        <v>1169</v>
      </c>
      <c r="K39" s="6" t="s">
        <v>1263</v>
      </c>
      <c r="L39" s="6"/>
      <c r="M39" s="182" t="s">
        <v>1595</v>
      </c>
      <c r="N39" s="183" t="s">
        <v>852</v>
      </c>
    </row>
    <row r="40" spans="1:14" ht="34.950000000000003" customHeight="1" x14ac:dyDescent="0.3">
      <c r="A40" s="3">
        <v>2</v>
      </c>
      <c r="B40" s="119" t="s">
        <v>853</v>
      </c>
      <c r="C40" s="147" t="s">
        <v>1317</v>
      </c>
      <c r="D40" s="6" t="s">
        <v>1318</v>
      </c>
      <c r="E40" s="93"/>
      <c r="F40" s="97"/>
      <c r="G40" s="97"/>
      <c r="H40" s="105" t="s">
        <v>247</v>
      </c>
      <c r="I40" s="98">
        <v>0.5</v>
      </c>
      <c r="J40" s="77" t="s">
        <v>1264</v>
      </c>
      <c r="K40" s="6" t="s">
        <v>1265</v>
      </c>
      <c r="L40" s="6"/>
      <c r="M40" s="182" t="s">
        <v>1595</v>
      </c>
      <c r="N40" s="183" t="s">
        <v>854</v>
      </c>
    </row>
    <row r="41" spans="1:14" ht="34.950000000000003" customHeight="1" x14ac:dyDescent="0.3">
      <c r="A41" s="3">
        <v>3</v>
      </c>
      <c r="B41" s="119" t="s">
        <v>855</v>
      </c>
      <c r="C41" s="147" t="s">
        <v>1319</v>
      </c>
      <c r="D41" s="6" t="s">
        <v>1320</v>
      </c>
      <c r="E41" s="93"/>
      <c r="F41" s="97"/>
      <c r="G41" s="97"/>
      <c r="H41" s="105" t="s">
        <v>247</v>
      </c>
      <c r="I41" s="98">
        <v>1.9200000000000017</v>
      </c>
      <c r="J41" s="77" t="s">
        <v>1266</v>
      </c>
      <c r="K41" s="6" t="s">
        <v>1264</v>
      </c>
      <c r="L41" s="6"/>
      <c r="M41" s="182" t="s">
        <v>1595</v>
      </c>
      <c r="N41" s="183" t="s">
        <v>856</v>
      </c>
    </row>
    <row r="42" spans="1:14" ht="34.950000000000003" customHeight="1" x14ac:dyDescent="0.3">
      <c r="A42" s="3">
        <v>4</v>
      </c>
      <c r="B42" s="119" t="s">
        <v>857</v>
      </c>
      <c r="C42" s="147" t="s">
        <v>1321</v>
      </c>
      <c r="D42" s="6" t="s">
        <v>1322</v>
      </c>
      <c r="E42" s="93"/>
      <c r="F42" s="97"/>
      <c r="G42" s="97"/>
      <c r="H42" s="97" t="s">
        <v>248</v>
      </c>
      <c r="I42" s="98">
        <v>4.4699999999999989</v>
      </c>
      <c r="J42" s="77" t="s">
        <v>1169</v>
      </c>
      <c r="K42" s="6" t="s">
        <v>1263</v>
      </c>
      <c r="L42" s="6"/>
      <c r="M42" s="182" t="s">
        <v>1595</v>
      </c>
      <c r="N42" s="183" t="s">
        <v>852</v>
      </c>
    </row>
    <row r="43" spans="1:14" ht="34.950000000000003" customHeight="1" x14ac:dyDescent="0.3">
      <c r="A43" s="3">
        <v>5</v>
      </c>
      <c r="B43" s="119" t="s">
        <v>858</v>
      </c>
      <c r="C43" s="147" t="s">
        <v>1323</v>
      </c>
      <c r="D43" s="6" t="s">
        <v>1324</v>
      </c>
      <c r="E43" s="93"/>
      <c r="F43" s="97"/>
      <c r="G43" s="97"/>
      <c r="H43" s="97" t="s">
        <v>248</v>
      </c>
      <c r="I43" s="98">
        <v>2.6099999999999994</v>
      </c>
      <c r="J43" s="77" t="s">
        <v>1169</v>
      </c>
      <c r="K43" s="6" t="s">
        <v>1263</v>
      </c>
      <c r="L43" s="6"/>
      <c r="M43" s="182" t="s">
        <v>1595</v>
      </c>
      <c r="N43" s="183" t="s">
        <v>859</v>
      </c>
    </row>
    <row r="44" spans="1:14" ht="34.950000000000003" customHeight="1" x14ac:dyDescent="0.3">
      <c r="A44" s="3">
        <v>6</v>
      </c>
      <c r="B44" s="119" t="s">
        <v>860</v>
      </c>
      <c r="C44" s="147" t="s">
        <v>1325</v>
      </c>
      <c r="D44" s="6" t="s">
        <v>1326</v>
      </c>
      <c r="E44" s="93"/>
      <c r="F44" s="97"/>
      <c r="G44" s="97"/>
      <c r="H44" s="97" t="s">
        <v>248</v>
      </c>
      <c r="I44" s="98">
        <v>1</v>
      </c>
      <c r="J44" s="77" t="s">
        <v>1169</v>
      </c>
      <c r="K44" s="6" t="s">
        <v>1263</v>
      </c>
      <c r="L44" s="6"/>
      <c r="M44" s="182" t="s">
        <v>1595</v>
      </c>
      <c r="N44" s="183" t="s">
        <v>852</v>
      </c>
    </row>
    <row r="45" spans="1:14" ht="34.950000000000003" customHeight="1" x14ac:dyDescent="0.3">
      <c r="A45" s="3">
        <v>7</v>
      </c>
      <c r="B45" s="119" t="s">
        <v>861</v>
      </c>
      <c r="C45" s="147" t="s">
        <v>1327</v>
      </c>
      <c r="D45" s="6" t="s">
        <v>1328</v>
      </c>
      <c r="E45" s="93"/>
      <c r="F45" s="97"/>
      <c r="G45" s="97"/>
      <c r="H45" s="97" t="s">
        <v>248</v>
      </c>
      <c r="I45" s="98">
        <v>0.3</v>
      </c>
      <c r="J45" s="77" t="s">
        <v>1169</v>
      </c>
      <c r="K45" s="6" t="s">
        <v>1263</v>
      </c>
      <c r="L45" s="6"/>
      <c r="M45" s="182" t="s">
        <v>1595</v>
      </c>
      <c r="N45" s="183" t="s">
        <v>859</v>
      </c>
    </row>
    <row r="46" spans="1:14" ht="34.950000000000003" customHeight="1" x14ac:dyDescent="0.3">
      <c r="A46" s="3">
        <v>8</v>
      </c>
      <c r="B46" s="119" t="s">
        <v>862</v>
      </c>
      <c r="C46" s="147" t="s">
        <v>1329</v>
      </c>
      <c r="D46" s="6" t="s">
        <v>1330</v>
      </c>
      <c r="E46" s="93"/>
      <c r="F46" s="97"/>
      <c r="G46" s="97"/>
      <c r="H46" s="97" t="s">
        <v>248</v>
      </c>
      <c r="I46" s="98">
        <v>0.43000000000000682</v>
      </c>
      <c r="J46" s="77" t="s">
        <v>1169</v>
      </c>
      <c r="K46" s="6" t="s">
        <v>1263</v>
      </c>
      <c r="L46" s="6"/>
      <c r="M46" s="182" t="s">
        <v>1595</v>
      </c>
      <c r="N46" s="183" t="s">
        <v>852</v>
      </c>
    </row>
    <row r="47" spans="1:14" ht="34.950000000000003" customHeight="1" x14ac:dyDescent="0.3">
      <c r="A47" s="3">
        <v>9</v>
      </c>
      <c r="B47" s="119" t="s">
        <v>863</v>
      </c>
      <c r="C47" s="147" t="s">
        <v>1331</v>
      </c>
      <c r="D47" s="6" t="s">
        <v>1332</v>
      </c>
      <c r="E47" s="93"/>
      <c r="F47" s="97"/>
      <c r="G47" s="97"/>
      <c r="H47" s="97" t="s">
        <v>248</v>
      </c>
      <c r="I47" s="98">
        <v>1.6899999999999977</v>
      </c>
      <c r="J47" s="77" t="s">
        <v>1169</v>
      </c>
      <c r="K47" s="6" t="s">
        <v>1263</v>
      </c>
      <c r="L47" s="6"/>
      <c r="M47" s="182" t="s">
        <v>1595</v>
      </c>
      <c r="N47" s="183" t="s">
        <v>859</v>
      </c>
    </row>
    <row r="48" spans="1:14" ht="34.950000000000003" customHeight="1" x14ac:dyDescent="0.3">
      <c r="A48" s="3">
        <v>10</v>
      </c>
      <c r="B48" s="119" t="s">
        <v>864</v>
      </c>
      <c r="C48" s="147" t="s">
        <v>1333</v>
      </c>
      <c r="D48" s="6" t="s">
        <v>1334</v>
      </c>
      <c r="E48" s="93"/>
      <c r="F48" s="97"/>
      <c r="G48" s="97"/>
      <c r="H48" s="97" t="s">
        <v>248</v>
      </c>
      <c r="I48" s="98">
        <v>0.48000000000000398</v>
      </c>
      <c r="J48" s="77" t="s">
        <v>1169</v>
      </c>
      <c r="K48" s="6" t="s">
        <v>1263</v>
      </c>
      <c r="L48" s="6"/>
      <c r="M48" s="182" t="s">
        <v>1595</v>
      </c>
      <c r="N48" s="183" t="s">
        <v>852</v>
      </c>
    </row>
    <row r="49" spans="1:14" ht="34.950000000000003" customHeight="1" x14ac:dyDescent="0.3">
      <c r="A49" s="3">
        <v>11</v>
      </c>
      <c r="B49" s="119" t="s">
        <v>865</v>
      </c>
      <c r="C49" s="147" t="s">
        <v>1335</v>
      </c>
      <c r="D49" s="6" t="s">
        <v>1336</v>
      </c>
      <c r="E49" s="93"/>
      <c r="F49" s="97"/>
      <c r="G49" s="97"/>
      <c r="H49" s="97" t="s">
        <v>248</v>
      </c>
      <c r="I49" s="98">
        <v>1.1999999999999886</v>
      </c>
      <c r="J49" s="77" t="s">
        <v>1169</v>
      </c>
      <c r="K49" s="6" t="s">
        <v>1263</v>
      </c>
      <c r="L49" s="6"/>
      <c r="M49" s="182" t="s">
        <v>1595</v>
      </c>
      <c r="N49" s="183" t="s">
        <v>852</v>
      </c>
    </row>
    <row r="50" spans="1:14" ht="34.950000000000003" customHeight="1" x14ac:dyDescent="0.3">
      <c r="A50" s="3">
        <v>12</v>
      </c>
      <c r="B50" s="119" t="s">
        <v>866</v>
      </c>
      <c r="C50" s="147" t="s">
        <v>1337</v>
      </c>
      <c r="D50" s="6" t="s">
        <v>1338</v>
      </c>
      <c r="E50" s="93"/>
      <c r="F50" s="97"/>
      <c r="G50" s="97"/>
      <c r="H50" s="97" t="s">
        <v>248</v>
      </c>
      <c r="I50" s="98">
        <v>0.2</v>
      </c>
      <c r="J50" s="77" t="s">
        <v>1169</v>
      </c>
      <c r="K50" s="6" t="s">
        <v>1263</v>
      </c>
      <c r="L50" s="6"/>
      <c r="M50" s="182" t="s">
        <v>1595</v>
      </c>
      <c r="N50" s="183" t="s">
        <v>859</v>
      </c>
    </row>
    <row r="51" spans="1:14" ht="34.950000000000003" customHeight="1" x14ac:dyDescent="0.3">
      <c r="A51" s="3">
        <v>13</v>
      </c>
      <c r="B51" s="119" t="s">
        <v>1123</v>
      </c>
      <c r="C51" s="147" t="s">
        <v>1339</v>
      </c>
      <c r="D51" s="6" t="s">
        <v>1340</v>
      </c>
      <c r="E51" s="93"/>
      <c r="F51" s="97"/>
      <c r="G51" s="97"/>
      <c r="H51" s="97" t="s">
        <v>248</v>
      </c>
      <c r="I51" s="98">
        <v>7.4</v>
      </c>
      <c r="J51" s="77" t="s">
        <v>1169</v>
      </c>
      <c r="K51" s="6" t="s">
        <v>1263</v>
      </c>
      <c r="L51" s="6"/>
      <c r="M51" s="182" t="s">
        <v>1595</v>
      </c>
      <c r="N51" s="183" t="s">
        <v>852</v>
      </c>
    </row>
    <row r="52" spans="1:14" ht="34.950000000000003" customHeight="1" x14ac:dyDescent="0.3">
      <c r="A52" s="3">
        <v>14</v>
      </c>
      <c r="B52" s="106" t="s">
        <v>867</v>
      </c>
      <c r="C52" s="147" t="s">
        <v>1341</v>
      </c>
      <c r="D52" s="6" t="s">
        <v>1342</v>
      </c>
      <c r="E52" s="93"/>
      <c r="F52" s="97"/>
      <c r="G52" s="97"/>
      <c r="H52" s="97" t="s">
        <v>248</v>
      </c>
      <c r="I52" s="98">
        <v>2.2999999999999972</v>
      </c>
      <c r="J52" s="77" t="s">
        <v>1169</v>
      </c>
      <c r="K52" s="6" t="s">
        <v>1263</v>
      </c>
      <c r="L52" s="6"/>
      <c r="M52" s="182" t="s">
        <v>1595</v>
      </c>
      <c r="N52" s="183" t="s">
        <v>852</v>
      </c>
    </row>
    <row r="53" spans="1:14" ht="34.950000000000003" customHeight="1" x14ac:dyDescent="0.3">
      <c r="A53" s="3">
        <v>15</v>
      </c>
      <c r="B53" s="106" t="s">
        <v>868</v>
      </c>
      <c r="C53" s="147" t="s">
        <v>1343</v>
      </c>
      <c r="D53" s="6" t="s">
        <v>1344</v>
      </c>
      <c r="E53" s="93"/>
      <c r="F53" s="97"/>
      <c r="G53" s="97" t="s">
        <v>1180</v>
      </c>
      <c r="H53" s="97" t="s">
        <v>248</v>
      </c>
      <c r="I53" s="98">
        <v>66.5</v>
      </c>
      <c r="J53" s="77" t="s">
        <v>1169</v>
      </c>
      <c r="K53" s="6" t="s">
        <v>1263</v>
      </c>
      <c r="L53" s="6"/>
      <c r="M53" s="182" t="s">
        <v>1595</v>
      </c>
      <c r="N53" s="183" t="s">
        <v>852</v>
      </c>
    </row>
    <row r="54" spans="1:14" ht="34.950000000000003" customHeight="1" x14ac:dyDescent="0.3">
      <c r="A54" s="131" t="s">
        <v>249</v>
      </c>
      <c r="B54" s="132" t="s">
        <v>659</v>
      </c>
      <c r="C54" s="148"/>
      <c r="D54" s="130"/>
      <c r="E54" s="125">
        <v>2017</v>
      </c>
      <c r="F54" s="133"/>
      <c r="G54" s="133"/>
      <c r="H54" s="126"/>
      <c r="I54" s="133">
        <v>94.100000000000009</v>
      </c>
      <c r="J54" s="77"/>
      <c r="K54" s="6"/>
      <c r="L54" s="6"/>
      <c r="M54" s="6"/>
      <c r="N54" s="178"/>
    </row>
    <row r="55" spans="1:14" ht="34.950000000000003" customHeight="1" x14ac:dyDescent="0.3">
      <c r="A55" s="24">
        <v>1</v>
      </c>
      <c r="B55" s="120" t="s">
        <v>1152</v>
      </c>
      <c r="C55" s="147" t="s">
        <v>1345</v>
      </c>
      <c r="D55" s="6" t="s">
        <v>1346</v>
      </c>
      <c r="E55" s="94"/>
      <c r="F55" s="109" t="s">
        <v>1182</v>
      </c>
      <c r="G55" s="109"/>
      <c r="H55" s="23" t="s">
        <v>248</v>
      </c>
      <c r="I55" s="23">
        <v>1.7</v>
      </c>
      <c r="J55" s="77">
        <v>5.5</v>
      </c>
      <c r="K55" s="6">
        <v>5.5</v>
      </c>
      <c r="L55" s="6"/>
      <c r="M55" s="182" t="s">
        <v>1595</v>
      </c>
      <c r="N55" s="183" t="s">
        <v>786</v>
      </c>
    </row>
    <row r="56" spans="1:14" ht="34.950000000000003" customHeight="1" x14ac:dyDescent="0.3">
      <c r="A56" s="24">
        <v>2</v>
      </c>
      <c r="B56" s="120" t="s">
        <v>1153</v>
      </c>
      <c r="C56" s="147" t="s">
        <v>1347</v>
      </c>
      <c r="D56" s="6" t="s">
        <v>1348</v>
      </c>
      <c r="E56" s="110"/>
      <c r="G56" s="109"/>
      <c r="H56" s="23" t="s">
        <v>247</v>
      </c>
      <c r="I56" s="23">
        <v>3.8</v>
      </c>
      <c r="J56" s="77">
        <v>9</v>
      </c>
      <c r="K56" s="6">
        <v>9</v>
      </c>
      <c r="L56" s="6"/>
      <c r="M56" s="182" t="s">
        <v>1595</v>
      </c>
      <c r="N56" s="183" t="s">
        <v>810</v>
      </c>
    </row>
    <row r="57" spans="1:14" ht="34.950000000000003" customHeight="1" x14ac:dyDescent="0.3">
      <c r="A57" s="24">
        <v>3</v>
      </c>
      <c r="B57" s="120" t="s">
        <v>1154</v>
      </c>
      <c r="C57" s="147" t="s">
        <v>1349</v>
      </c>
      <c r="D57" s="6" t="s">
        <v>1350</v>
      </c>
      <c r="E57" s="94"/>
      <c r="F57" s="109"/>
      <c r="G57" s="109"/>
      <c r="H57" s="23" t="s">
        <v>248</v>
      </c>
      <c r="I57" s="23">
        <v>6.35</v>
      </c>
      <c r="J57" s="77">
        <v>5.5</v>
      </c>
      <c r="K57" s="6">
        <v>5.5</v>
      </c>
      <c r="L57" s="6"/>
      <c r="M57" s="182" t="s">
        <v>1595</v>
      </c>
      <c r="N57" s="183" t="s">
        <v>786</v>
      </c>
    </row>
    <row r="58" spans="1:14" ht="34.950000000000003" customHeight="1" x14ac:dyDescent="0.3">
      <c r="A58" s="24">
        <v>4</v>
      </c>
      <c r="B58" s="120" t="s">
        <v>1155</v>
      </c>
      <c r="C58" s="147" t="s">
        <v>1351</v>
      </c>
      <c r="D58" s="6" t="s">
        <v>1352</v>
      </c>
      <c r="E58" s="94"/>
      <c r="F58" s="109"/>
      <c r="G58" s="109"/>
      <c r="H58" s="23" t="s">
        <v>247</v>
      </c>
      <c r="I58" s="23">
        <v>0.65</v>
      </c>
      <c r="J58" s="77">
        <v>9</v>
      </c>
      <c r="K58" s="6">
        <v>9</v>
      </c>
      <c r="L58" s="6"/>
      <c r="M58" s="182" t="s">
        <v>1595</v>
      </c>
      <c r="N58" s="183" t="s">
        <v>810</v>
      </c>
    </row>
    <row r="59" spans="1:14" ht="34.950000000000003" customHeight="1" x14ac:dyDescent="0.3">
      <c r="A59" s="24">
        <v>5</v>
      </c>
      <c r="B59" s="120" t="s">
        <v>1156</v>
      </c>
      <c r="C59" s="147" t="s">
        <v>1353</v>
      </c>
      <c r="D59" s="6" t="s">
        <v>1354</v>
      </c>
      <c r="E59" s="94"/>
      <c r="F59" s="109"/>
      <c r="G59" s="109"/>
      <c r="H59" s="23" t="s">
        <v>247</v>
      </c>
      <c r="I59" s="23">
        <v>2.7</v>
      </c>
      <c r="J59" s="77">
        <v>10.5</v>
      </c>
      <c r="K59" s="6">
        <v>10.5</v>
      </c>
      <c r="L59" s="6"/>
      <c r="M59" s="182" t="s">
        <v>1595</v>
      </c>
      <c r="N59" s="183" t="s">
        <v>1157</v>
      </c>
    </row>
    <row r="60" spans="1:14" ht="34.950000000000003" customHeight="1" x14ac:dyDescent="0.3">
      <c r="A60" s="24">
        <v>6</v>
      </c>
      <c r="B60" s="120" t="s">
        <v>1158</v>
      </c>
      <c r="C60" s="147" t="s">
        <v>1355</v>
      </c>
      <c r="D60" s="6" t="s">
        <v>1356</v>
      </c>
      <c r="E60" s="94"/>
      <c r="F60" s="109"/>
      <c r="G60" s="109"/>
      <c r="H60" s="23" t="s">
        <v>247</v>
      </c>
      <c r="I60" s="23">
        <v>10.9</v>
      </c>
      <c r="J60" s="77">
        <v>10.5</v>
      </c>
      <c r="K60" s="6">
        <v>10.5</v>
      </c>
      <c r="L60" s="6"/>
      <c r="M60" s="182" t="s">
        <v>1595</v>
      </c>
      <c r="N60" s="183" t="s">
        <v>1159</v>
      </c>
    </row>
    <row r="61" spans="1:14" ht="34.950000000000003" customHeight="1" x14ac:dyDescent="0.3">
      <c r="A61" s="24">
        <v>7</v>
      </c>
      <c r="B61" s="120" t="s">
        <v>1160</v>
      </c>
      <c r="C61" s="147" t="s">
        <v>1357</v>
      </c>
      <c r="D61" s="6" t="s">
        <v>1358</v>
      </c>
      <c r="E61" s="94"/>
      <c r="F61" s="109"/>
      <c r="G61" s="109"/>
      <c r="H61" s="23" t="s">
        <v>248</v>
      </c>
      <c r="I61" s="23">
        <v>29</v>
      </c>
      <c r="J61" s="77">
        <v>5.5</v>
      </c>
      <c r="K61" s="6">
        <v>5.5</v>
      </c>
      <c r="L61" s="6"/>
      <c r="M61" s="182" t="s">
        <v>1595</v>
      </c>
      <c r="N61" s="183" t="s">
        <v>786</v>
      </c>
    </row>
    <row r="62" spans="1:14" ht="34.950000000000003" customHeight="1" x14ac:dyDescent="0.3">
      <c r="A62" s="24">
        <v>8</v>
      </c>
      <c r="B62" s="112" t="s">
        <v>808</v>
      </c>
      <c r="C62" s="147" t="s">
        <v>1359</v>
      </c>
      <c r="D62" s="6" t="s">
        <v>1360</v>
      </c>
      <c r="E62" s="94"/>
      <c r="F62" s="109"/>
      <c r="G62" s="109"/>
      <c r="H62" s="108" t="s">
        <v>248</v>
      </c>
      <c r="I62" s="108">
        <v>4</v>
      </c>
      <c r="J62" s="77">
        <v>5.5</v>
      </c>
      <c r="K62" s="6">
        <v>5.5</v>
      </c>
      <c r="L62" s="6"/>
      <c r="M62" s="182" t="s">
        <v>1595</v>
      </c>
      <c r="N62" s="183" t="s">
        <v>279</v>
      </c>
    </row>
    <row r="63" spans="1:14" ht="34.950000000000003" customHeight="1" x14ac:dyDescent="0.3">
      <c r="A63" s="24">
        <v>9</v>
      </c>
      <c r="B63" s="112" t="s">
        <v>809</v>
      </c>
      <c r="C63" s="147" t="s">
        <v>1360</v>
      </c>
      <c r="D63" s="6" t="s">
        <v>1361</v>
      </c>
      <c r="E63" s="94"/>
      <c r="F63" s="109"/>
      <c r="G63" s="109"/>
      <c r="H63" s="108" t="s">
        <v>247</v>
      </c>
      <c r="I63" s="108">
        <v>2.8000000000000114</v>
      </c>
      <c r="J63" s="77">
        <v>9</v>
      </c>
      <c r="K63" s="6">
        <v>9</v>
      </c>
      <c r="L63" s="6"/>
      <c r="M63" s="182" t="s">
        <v>1595</v>
      </c>
      <c r="N63" s="183" t="s">
        <v>810</v>
      </c>
    </row>
    <row r="64" spans="1:14" ht="34.950000000000003" customHeight="1" x14ac:dyDescent="0.3">
      <c r="A64" s="24">
        <v>10</v>
      </c>
      <c r="B64" s="112" t="s">
        <v>811</v>
      </c>
      <c r="C64" s="147" t="s">
        <v>1361</v>
      </c>
      <c r="D64" s="6" t="s">
        <v>1362</v>
      </c>
      <c r="E64" s="94"/>
      <c r="F64" s="109"/>
      <c r="G64" s="109"/>
      <c r="H64" s="108" t="s">
        <v>248</v>
      </c>
      <c r="I64" s="108">
        <v>6.7</v>
      </c>
      <c r="J64" s="77">
        <v>5.5</v>
      </c>
      <c r="K64" s="6">
        <v>5.5</v>
      </c>
      <c r="L64" s="6"/>
      <c r="M64" s="182" t="s">
        <v>1595</v>
      </c>
      <c r="N64" s="183" t="s">
        <v>279</v>
      </c>
    </row>
    <row r="65" spans="1:14" ht="34.950000000000003" customHeight="1" x14ac:dyDescent="0.3">
      <c r="A65" s="24">
        <v>11</v>
      </c>
      <c r="B65" s="112" t="s">
        <v>812</v>
      </c>
      <c r="C65" s="147" t="s">
        <v>1363</v>
      </c>
      <c r="D65" s="6" t="s">
        <v>1364</v>
      </c>
      <c r="E65" s="94"/>
      <c r="F65" s="109"/>
      <c r="G65" s="109"/>
      <c r="H65" s="108" t="s">
        <v>247</v>
      </c>
      <c r="I65" s="108">
        <v>0.5</v>
      </c>
      <c r="J65" s="77">
        <v>9</v>
      </c>
      <c r="K65" s="6">
        <v>9</v>
      </c>
      <c r="L65" s="6"/>
      <c r="M65" s="182" t="s">
        <v>1595</v>
      </c>
      <c r="N65" s="183" t="s">
        <v>810</v>
      </c>
    </row>
    <row r="66" spans="1:14" ht="34.950000000000003" customHeight="1" x14ac:dyDescent="0.3">
      <c r="A66" s="24">
        <v>12</v>
      </c>
      <c r="B66" s="112" t="s">
        <v>813</v>
      </c>
      <c r="C66" s="147" t="s">
        <v>1365</v>
      </c>
      <c r="D66" s="6" t="s">
        <v>1366</v>
      </c>
      <c r="E66" s="94"/>
      <c r="F66" s="109"/>
      <c r="G66" s="109" t="s">
        <v>1181</v>
      </c>
      <c r="H66" s="108" t="s">
        <v>248</v>
      </c>
      <c r="I66" s="108">
        <v>25</v>
      </c>
      <c r="J66" s="77">
        <v>5.5</v>
      </c>
      <c r="K66" s="6">
        <v>5.5</v>
      </c>
      <c r="L66" s="6"/>
      <c r="M66" s="182" t="s">
        <v>1595</v>
      </c>
      <c r="N66" s="183" t="s">
        <v>279</v>
      </c>
    </row>
    <row r="67" spans="1:14" ht="34.950000000000003" customHeight="1" x14ac:dyDescent="0.3">
      <c r="A67" s="137" t="s">
        <v>250</v>
      </c>
      <c r="B67" s="141" t="s">
        <v>566</v>
      </c>
      <c r="C67" s="148"/>
      <c r="D67" s="130"/>
      <c r="E67" s="139">
        <v>2009</v>
      </c>
      <c r="F67" s="129"/>
      <c r="G67" s="129"/>
      <c r="H67" s="129"/>
      <c r="I67" s="140">
        <v>174.05</v>
      </c>
      <c r="J67" s="77"/>
      <c r="K67" s="6"/>
      <c r="L67" s="6"/>
      <c r="M67" s="6"/>
      <c r="N67" s="178"/>
    </row>
    <row r="68" spans="1:14" ht="34.950000000000003" customHeight="1" x14ac:dyDescent="0.3">
      <c r="A68" s="20">
        <v>1</v>
      </c>
      <c r="B68" s="121" t="s">
        <v>814</v>
      </c>
      <c r="C68" s="147" t="s">
        <v>1367</v>
      </c>
      <c r="D68" s="6" t="s">
        <v>1368</v>
      </c>
      <c r="E68" s="24"/>
      <c r="F68" s="109" t="s">
        <v>1183</v>
      </c>
      <c r="G68" s="20"/>
      <c r="H68" s="20" t="s">
        <v>249</v>
      </c>
      <c r="I68" s="23">
        <v>85</v>
      </c>
      <c r="J68" s="77">
        <v>5.5</v>
      </c>
      <c r="K68" s="6">
        <v>5.5</v>
      </c>
      <c r="L68" s="6"/>
      <c r="M68" s="182" t="s">
        <v>1595</v>
      </c>
      <c r="N68" s="183" t="s">
        <v>285</v>
      </c>
    </row>
    <row r="69" spans="1:14" ht="34.950000000000003" customHeight="1" x14ac:dyDescent="0.3">
      <c r="A69" s="3">
        <v>2</v>
      </c>
      <c r="B69" s="106" t="s">
        <v>869</v>
      </c>
      <c r="C69" s="147" t="s">
        <v>1369</v>
      </c>
      <c r="D69" s="6" t="s">
        <v>1370</v>
      </c>
      <c r="E69" s="93"/>
      <c r="F69" s="109"/>
      <c r="G69" s="97"/>
      <c r="H69" s="97" t="s">
        <v>249</v>
      </c>
      <c r="I69" s="23">
        <v>10.599999999999994</v>
      </c>
      <c r="J69" s="77">
        <v>5.5</v>
      </c>
      <c r="K69" s="6">
        <v>5.5</v>
      </c>
      <c r="L69" s="6"/>
      <c r="M69" s="182" t="s">
        <v>1595</v>
      </c>
      <c r="N69" s="183" t="s">
        <v>870</v>
      </c>
    </row>
    <row r="70" spans="1:14" ht="34.950000000000003" customHeight="1" x14ac:dyDescent="0.3">
      <c r="A70" s="3">
        <v>3</v>
      </c>
      <c r="B70" s="106" t="s">
        <v>871</v>
      </c>
      <c r="C70" s="147" t="s">
        <v>1370</v>
      </c>
      <c r="D70" s="6" t="s">
        <v>1371</v>
      </c>
      <c r="E70" s="93"/>
      <c r="F70" s="97"/>
      <c r="G70" s="97"/>
      <c r="H70" s="97" t="s">
        <v>249</v>
      </c>
      <c r="I70" s="23">
        <v>3.6000000000000085</v>
      </c>
      <c r="J70" s="77" t="s">
        <v>1169</v>
      </c>
      <c r="K70" s="6" t="s">
        <v>1267</v>
      </c>
      <c r="L70" s="6"/>
      <c r="M70" s="182" t="s">
        <v>1595</v>
      </c>
      <c r="N70" s="183" t="s">
        <v>872</v>
      </c>
    </row>
    <row r="71" spans="1:14" ht="34.950000000000003" customHeight="1" x14ac:dyDescent="0.3">
      <c r="A71" s="3">
        <v>4</v>
      </c>
      <c r="B71" s="106" t="s">
        <v>873</v>
      </c>
      <c r="C71" s="147" t="s">
        <v>1371</v>
      </c>
      <c r="D71" s="6" t="s">
        <v>1372</v>
      </c>
      <c r="E71" s="93"/>
      <c r="F71" s="97"/>
      <c r="G71" s="97"/>
      <c r="H71" s="97" t="s">
        <v>249</v>
      </c>
      <c r="I71" s="23">
        <v>1</v>
      </c>
      <c r="J71" s="77">
        <v>11</v>
      </c>
      <c r="K71" s="6">
        <v>11</v>
      </c>
      <c r="L71" s="6"/>
      <c r="M71" s="182" t="s">
        <v>1595</v>
      </c>
      <c r="N71" s="183" t="s">
        <v>874</v>
      </c>
    </row>
    <row r="72" spans="1:14" ht="34.950000000000003" customHeight="1" x14ac:dyDescent="0.3">
      <c r="A72" s="3">
        <v>5</v>
      </c>
      <c r="B72" s="106" t="s">
        <v>875</v>
      </c>
      <c r="C72" s="147" t="s">
        <v>1372</v>
      </c>
      <c r="D72" s="6" t="s">
        <v>1373</v>
      </c>
      <c r="E72" s="93"/>
      <c r="F72" s="97"/>
      <c r="G72" s="97"/>
      <c r="H72" s="97" t="s">
        <v>249</v>
      </c>
      <c r="I72" s="23">
        <v>64.8</v>
      </c>
      <c r="J72" s="77" t="s">
        <v>1268</v>
      </c>
      <c r="K72" s="6" t="s">
        <v>1169</v>
      </c>
      <c r="L72" s="6"/>
      <c r="M72" s="182" t="s">
        <v>1595</v>
      </c>
      <c r="N72" s="183" t="s">
        <v>876</v>
      </c>
    </row>
    <row r="73" spans="1:14" ht="34.950000000000003" customHeight="1" x14ac:dyDescent="0.3">
      <c r="A73" s="3">
        <v>6</v>
      </c>
      <c r="B73" s="106" t="s">
        <v>877</v>
      </c>
      <c r="C73" s="147" t="s">
        <v>1373</v>
      </c>
      <c r="D73" s="6" t="s">
        <v>947</v>
      </c>
      <c r="E73" s="93"/>
      <c r="F73" s="97"/>
      <c r="G73" s="97" t="s">
        <v>1184</v>
      </c>
      <c r="H73" s="97" t="s">
        <v>247</v>
      </c>
      <c r="I73" s="23">
        <v>9.0500000000000114</v>
      </c>
      <c r="J73" s="77">
        <v>12</v>
      </c>
      <c r="K73" s="6">
        <v>12</v>
      </c>
      <c r="L73" s="6"/>
      <c r="M73" s="182" t="s">
        <v>1595</v>
      </c>
      <c r="N73" s="183" t="s">
        <v>878</v>
      </c>
    </row>
    <row r="74" spans="1:14" ht="34.950000000000003" customHeight="1" x14ac:dyDescent="0.3">
      <c r="A74" s="131" t="s">
        <v>251</v>
      </c>
      <c r="B74" s="132" t="s">
        <v>681</v>
      </c>
      <c r="C74" s="148"/>
      <c r="D74" s="130"/>
      <c r="E74" s="125">
        <v>2001</v>
      </c>
      <c r="F74" s="133"/>
      <c r="G74" s="133"/>
      <c r="H74" s="126"/>
      <c r="I74" s="133">
        <v>17.5</v>
      </c>
      <c r="J74" s="77"/>
      <c r="K74" s="6"/>
      <c r="L74" s="6"/>
      <c r="M74" s="6"/>
      <c r="N74" s="178"/>
    </row>
    <row r="75" spans="1:14" ht="34.950000000000003" customHeight="1" x14ac:dyDescent="0.3">
      <c r="A75" s="24">
        <v>1</v>
      </c>
      <c r="B75" s="120" t="s">
        <v>815</v>
      </c>
      <c r="C75" s="147" t="s">
        <v>1374</v>
      </c>
      <c r="D75" s="6" t="s">
        <v>1375</v>
      </c>
      <c r="E75" s="94"/>
      <c r="F75" s="109" t="s">
        <v>1185</v>
      </c>
      <c r="G75" s="109"/>
      <c r="H75" s="23" t="s">
        <v>247</v>
      </c>
      <c r="I75" s="23">
        <v>8.5</v>
      </c>
      <c r="J75" s="77">
        <v>7.5</v>
      </c>
      <c r="K75" s="6">
        <v>7.5</v>
      </c>
      <c r="L75" s="6"/>
      <c r="M75" s="182" t="s">
        <v>1595</v>
      </c>
      <c r="N75" s="183" t="s">
        <v>784</v>
      </c>
    </row>
    <row r="76" spans="1:14" ht="34.950000000000003" customHeight="1" x14ac:dyDescent="0.3">
      <c r="A76" s="24">
        <v>2</v>
      </c>
      <c r="B76" s="120" t="s">
        <v>816</v>
      </c>
      <c r="C76" s="147" t="s">
        <v>1375</v>
      </c>
      <c r="D76" s="6" t="s">
        <v>1376</v>
      </c>
      <c r="E76" s="110"/>
      <c r="G76" s="109" t="s">
        <v>1186</v>
      </c>
      <c r="H76" s="23" t="s">
        <v>248</v>
      </c>
      <c r="I76" s="23">
        <v>9</v>
      </c>
      <c r="J76" s="77">
        <v>5.5</v>
      </c>
      <c r="K76" s="6">
        <v>5.5</v>
      </c>
      <c r="L76" s="6"/>
      <c r="M76" s="182" t="s">
        <v>1595</v>
      </c>
      <c r="N76" s="183" t="s">
        <v>786</v>
      </c>
    </row>
    <row r="77" spans="1:14" ht="34.950000000000003" customHeight="1" x14ac:dyDescent="0.3">
      <c r="A77" s="131" t="s">
        <v>252</v>
      </c>
      <c r="B77" s="132" t="s">
        <v>687</v>
      </c>
      <c r="C77" s="148"/>
      <c r="D77" s="130"/>
      <c r="E77" s="125">
        <v>2016</v>
      </c>
      <c r="F77" s="133"/>
      <c r="G77" s="133"/>
      <c r="H77" s="126"/>
      <c r="I77" s="133">
        <v>27.6</v>
      </c>
      <c r="J77" s="77"/>
      <c r="K77" s="6"/>
      <c r="L77" s="6"/>
      <c r="M77" s="6"/>
      <c r="N77" s="178"/>
    </row>
    <row r="78" spans="1:14" ht="34.950000000000003" customHeight="1" x14ac:dyDescent="0.3">
      <c r="A78" s="24">
        <v>1</v>
      </c>
      <c r="B78" s="120" t="s">
        <v>817</v>
      </c>
      <c r="C78" s="147" t="s">
        <v>1377</v>
      </c>
      <c r="D78" s="6" t="s">
        <v>1378</v>
      </c>
      <c r="E78" s="94"/>
      <c r="F78" s="109" t="s">
        <v>1185</v>
      </c>
      <c r="G78" s="109"/>
      <c r="H78" s="23" t="s">
        <v>249</v>
      </c>
      <c r="I78" s="23">
        <v>3.6350000000000051</v>
      </c>
      <c r="J78" s="77">
        <v>5.5</v>
      </c>
      <c r="K78" s="6">
        <v>5.5</v>
      </c>
      <c r="L78" s="6"/>
      <c r="M78" s="182" t="s">
        <v>1595</v>
      </c>
      <c r="N78" s="183" t="s">
        <v>818</v>
      </c>
    </row>
    <row r="79" spans="1:14" ht="34.950000000000003" customHeight="1" x14ac:dyDescent="0.3">
      <c r="A79" s="24">
        <v>2</v>
      </c>
      <c r="B79" s="120" t="s">
        <v>819</v>
      </c>
      <c r="C79" s="147" t="s">
        <v>1378</v>
      </c>
      <c r="D79" s="6" t="s">
        <v>1379</v>
      </c>
      <c r="E79" s="94"/>
      <c r="F79" s="109"/>
      <c r="G79" s="109"/>
      <c r="H79" s="23" t="s">
        <v>247</v>
      </c>
      <c r="I79" s="23">
        <v>11.199999999999994</v>
      </c>
      <c r="J79" s="77">
        <v>5.5</v>
      </c>
      <c r="K79" s="6">
        <v>5.5</v>
      </c>
      <c r="L79" s="6"/>
      <c r="M79" s="182" t="s">
        <v>1595</v>
      </c>
      <c r="N79" s="183" t="s">
        <v>786</v>
      </c>
    </row>
    <row r="80" spans="1:14" ht="34.950000000000003" customHeight="1" x14ac:dyDescent="0.3">
      <c r="A80" s="24">
        <v>3</v>
      </c>
      <c r="B80" s="120" t="s">
        <v>820</v>
      </c>
      <c r="C80" s="147" t="s">
        <v>1379</v>
      </c>
      <c r="D80" s="6" t="s">
        <v>1380</v>
      </c>
      <c r="E80" s="94"/>
      <c r="F80" s="109"/>
      <c r="G80" s="109" t="s">
        <v>1220</v>
      </c>
      <c r="H80" s="23" t="s">
        <v>249</v>
      </c>
      <c r="I80" s="23">
        <v>12.765000000000001</v>
      </c>
      <c r="J80" s="77">
        <v>5.5</v>
      </c>
      <c r="K80" s="6">
        <v>5.5</v>
      </c>
      <c r="L80" s="6"/>
      <c r="M80" s="182" t="s">
        <v>1595</v>
      </c>
      <c r="N80" s="183" t="s">
        <v>818</v>
      </c>
    </row>
    <row r="81" spans="1:14" ht="34.950000000000003" customHeight="1" x14ac:dyDescent="0.3">
      <c r="A81" s="131" t="s">
        <v>253</v>
      </c>
      <c r="B81" s="132" t="s">
        <v>617</v>
      </c>
      <c r="C81" s="148"/>
      <c r="D81" s="130"/>
      <c r="E81" s="125">
        <v>2012</v>
      </c>
      <c r="F81" s="133"/>
      <c r="G81" s="133"/>
      <c r="H81" s="126"/>
      <c r="I81" s="133">
        <v>175.00399999999999</v>
      </c>
      <c r="J81" s="77"/>
      <c r="K81" s="6"/>
      <c r="L81" s="6"/>
      <c r="M81" s="6"/>
      <c r="N81" s="178"/>
    </row>
    <row r="82" spans="1:14" ht="34.950000000000003" customHeight="1" x14ac:dyDescent="0.3">
      <c r="A82" s="22">
        <v>1</v>
      </c>
      <c r="B82" s="112" t="s">
        <v>821</v>
      </c>
      <c r="C82" s="147" t="s">
        <v>1381</v>
      </c>
      <c r="D82" s="6" t="s">
        <v>1382</v>
      </c>
      <c r="E82" s="94"/>
      <c r="F82" s="109" t="s">
        <v>1224</v>
      </c>
      <c r="G82" s="109"/>
      <c r="H82" s="108" t="s">
        <v>248</v>
      </c>
      <c r="I82" s="108">
        <v>15</v>
      </c>
      <c r="J82" s="77">
        <v>5.5</v>
      </c>
      <c r="K82" s="6">
        <v>5.5</v>
      </c>
      <c r="L82" s="6"/>
      <c r="M82" s="182" t="s">
        <v>1595</v>
      </c>
      <c r="N82" s="183" t="s">
        <v>279</v>
      </c>
    </row>
    <row r="83" spans="1:14" s="167" customFormat="1" ht="34.950000000000003" customHeight="1" x14ac:dyDescent="0.3">
      <c r="A83" s="164">
        <f>+A82+1</f>
        <v>2</v>
      </c>
      <c r="B83" s="173" t="s">
        <v>822</v>
      </c>
      <c r="C83" s="162" t="s">
        <v>1382</v>
      </c>
      <c r="D83" s="163" t="s">
        <v>1383</v>
      </c>
      <c r="E83" s="174"/>
      <c r="G83" s="171"/>
      <c r="H83" s="165"/>
      <c r="I83" s="165"/>
      <c r="J83" s="166"/>
      <c r="K83" s="163"/>
      <c r="L83" s="163" t="str">
        <f>N83</f>
        <v>Đi chung với với QL.37</v>
      </c>
      <c r="M83" s="182" t="s">
        <v>1595</v>
      </c>
      <c r="N83" s="178" t="s">
        <v>1592</v>
      </c>
    </row>
    <row r="84" spans="1:14" ht="34.950000000000003" customHeight="1" x14ac:dyDescent="0.3">
      <c r="A84" s="22">
        <f t="shared" ref="A84:A102" si="0">+A83+1</f>
        <v>3</v>
      </c>
      <c r="B84" s="112" t="s">
        <v>823</v>
      </c>
      <c r="C84" s="147" t="s">
        <v>1383</v>
      </c>
      <c r="D84" s="6" t="s">
        <v>1384</v>
      </c>
      <c r="E84" s="94"/>
      <c r="F84" s="109"/>
      <c r="G84" s="109"/>
      <c r="H84" s="108" t="s">
        <v>248</v>
      </c>
      <c r="I84" s="108">
        <v>12</v>
      </c>
      <c r="J84" s="77">
        <v>5.5</v>
      </c>
      <c r="K84" s="6">
        <v>5.5</v>
      </c>
      <c r="L84" s="6"/>
      <c r="M84" s="182" t="s">
        <v>1595</v>
      </c>
      <c r="N84" s="183" t="s">
        <v>279</v>
      </c>
    </row>
    <row r="85" spans="1:14" ht="34.950000000000003" customHeight="1" x14ac:dyDescent="0.3">
      <c r="A85" s="22">
        <f t="shared" si="0"/>
        <v>4</v>
      </c>
      <c r="B85" s="112" t="s">
        <v>824</v>
      </c>
      <c r="C85" s="147" t="s">
        <v>1385</v>
      </c>
      <c r="D85" s="6" t="s">
        <v>1386</v>
      </c>
      <c r="E85" s="94"/>
      <c r="F85" s="109"/>
      <c r="G85" s="109"/>
      <c r="H85" s="108" t="s">
        <v>247</v>
      </c>
      <c r="I85" s="108">
        <v>1</v>
      </c>
      <c r="J85" s="77">
        <v>9</v>
      </c>
      <c r="K85" s="6">
        <v>9</v>
      </c>
      <c r="L85" s="6"/>
      <c r="M85" s="182" t="s">
        <v>1595</v>
      </c>
      <c r="N85" s="183" t="s">
        <v>810</v>
      </c>
    </row>
    <row r="86" spans="1:14" ht="34.950000000000003" customHeight="1" x14ac:dyDescent="0.3">
      <c r="A86" s="22">
        <f t="shared" si="0"/>
        <v>5</v>
      </c>
      <c r="B86" s="112" t="s">
        <v>825</v>
      </c>
      <c r="C86" s="147" t="s">
        <v>1387</v>
      </c>
      <c r="D86" s="6" t="s">
        <v>1388</v>
      </c>
      <c r="E86" s="94"/>
      <c r="F86" s="109"/>
      <c r="G86" s="109"/>
      <c r="H86" s="108" t="s">
        <v>248</v>
      </c>
      <c r="I86" s="108">
        <v>6.3</v>
      </c>
      <c r="J86" s="77">
        <v>5.5</v>
      </c>
      <c r="K86" s="6">
        <v>5.5</v>
      </c>
      <c r="L86" s="6"/>
      <c r="M86" s="182" t="s">
        <v>1595</v>
      </c>
      <c r="N86" s="183" t="s">
        <v>279</v>
      </c>
    </row>
    <row r="87" spans="1:14" ht="34.950000000000003" customHeight="1" x14ac:dyDescent="0.3">
      <c r="A87" s="22">
        <f t="shared" si="0"/>
        <v>6</v>
      </c>
      <c r="B87" s="112" t="s">
        <v>826</v>
      </c>
      <c r="C87" s="147" t="s">
        <v>1389</v>
      </c>
      <c r="D87" s="6" t="s">
        <v>1390</v>
      </c>
      <c r="E87" s="94"/>
      <c r="F87" s="109"/>
      <c r="G87" s="109"/>
      <c r="H87" s="108" t="s">
        <v>247</v>
      </c>
      <c r="I87" s="108">
        <v>2.2000000000000002</v>
      </c>
      <c r="J87" s="77">
        <v>15</v>
      </c>
      <c r="K87" s="6">
        <v>15</v>
      </c>
      <c r="L87" s="6"/>
      <c r="M87" s="182" t="s">
        <v>1595</v>
      </c>
      <c r="N87" s="183" t="s">
        <v>827</v>
      </c>
    </row>
    <row r="88" spans="1:14" ht="34.950000000000003" customHeight="1" x14ac:dyDescent="0.3">
      <c r="A88" s="22">
        <f t="shared" si="0"/>
        <v>7</v>
      </c>
      <c r="B88" s="112" t="s">
        <v>828</v>
      </c>
      <c r="C88" s="147" t="s">
        <v>1390</v>
      </c>
      <c r="D88" s="6" t="s">
        <v>1391</v>
      </c>
      <c r="E88" s="94"/>
      <c r="F88" s="109"/>
      <c r="G88" s="109"/>
      <c r="H88" s="108" t="s">
        <v>248</v>
      </c>
      <c r="I88" s="108">
        <v>3.5</v>
      </c>
      <c r="J88" s="77">
        <v>5.5</v>
      </c>
      <c r="K88" s="6">
        <v>5.5</v>
      </c>
      <c r="L88" s="6"/>
      <c r="M88" s="182" t="s">
        <v>1595</v>
      </c>
      <c r="N88" s="183" t="s">
        <v>279</v>
      </c>
    </row>
    <row r="89" spans="1:14" ht="34.950000000000003" customHeight="1" x14ac:dyDescent="0.3">
      <c r="A89" s="22">
        <f t="shared" si="0"/>
        <v>8</v>
      </c>
      <c r="B89" s="112" t="s">
        <v>829</v>
      </c>
      <c r="C89" s="147" t="s">
        <v>1391</v>
      </c>
      <c r="D89" s="6" t="s">
        <v>1392</v>
      </c>
      <c r="E89" s="94"/>
      <c r="F89" s="109"/>
      <c r="G89" s="109"/>
      <c r="H89" s="108" t="s">
        <v>247</v>
      </c>
      <c r="I89" s="108">
        <v>7.57</v>
      </c>
      <c r="J89" s="77">
        <v>8</v>
      </c>
      <c r="K89" s="6">
        <v>8</v>
      </c>
      <c r="L89" s="6"/>
      <c r="M89" s="182" t="s">
        <v>1595</v>
      </c>
      <c r="N89" s="183" t="s">
        <v>830</v>
      </c>
    </row>
    <row r="90" spans="1:14" ht="34.950000000000003" customHeight="1" x14ac:dyDescent="0.3">
      <c r="A90" s="22">
        <f t="shared" si="0"/>
        <v>9</v>
      </c>
      <c r="B90" s="112" t="s">
        <v>831</v>
      </c>
      <c r="C90" s="147" t="s">
        <v>1392</v>
      </c>
      <c r="D90" s="6" t="s">
        <v>1393</v>
      </c>
      <c r="E90" s="94"/>
      <c r="F90" s="109"/>
      <c r="G90" s="109"/>
      <c r="H90" s="108" t="s">
        <v>248</v>
      </c>
      <c r="I90" s="108">
        <v>6.43</v>
      </c>
      <c r="J90" s="77">
        <v>5.5</v>
      </c>
      <c r="K90" s="6">
        <v>5.5</v>
      </c>
      <c r="L90" s="6"/>
      <c r="M90" s="182" t="s">
        <v>1595</v>
      </c>
      <c r="N90" s="183" t="s">
        <v>279</v>
      </c>
    </row>
    <row r="91" spans="1:14" ht="34.950000000000003" customHeight="1" x14ac:dyDescent="0.3">
      <c r="A91" s="22">
        <f t="shared" si="0"/>
        <v>10</v>
      </c>
      <c r="B91" s="112" t="s">
        <v>832</v>
      </c>
      <c r="C91" s="147" t="s">
        <v>1393</v>
      </c>
      <c r="D91" s="6" t="s">
        <v>1394</v>
      </c>
      <c r="E91" s="94"/>
      <c r="F91" s="109"/>
      <c r="G91" s="109"/>
      <c r="H91" s="108" t="s">
        <v>247</v>
      </c>
      <c r="I91" s="108">
        <v>3</v>
      </c>
      <c r="J91" s="77">
        <v>9</v>
      </c>
      <c r="K91" s="6">
        <v>9</v>
      </c>
      <c r="L91" s="6"/>
      <c r="M91" s="182" t="s">
        <v>1595</v>
      </c>
      <c r="N91" s="183" t="s">
        <v>810</v>
      </c>
    </row>
    <row r="92" spans="1:14" ht="34.950000000000003" customHeight="1" x14ac:dyDescent="0.3">
      <c r="A92" s="22">
        <f t="shared" si="0"/>
        <v>11</v>
      </c>
      <c r="B92" s="112" t="s">
        <v>833</v>
      </c>
      <c r="C92" s="147" t="s">
        <v>1394</v>
      </c>
      <c r="D92" s="6" t="s">
        <v>1395</v>
      </c>
      <c r="E92" s="94"/>
      <c r="F92" s="109"/>
      <c r="G92" s="109"/>
      <c r="H92" s="108" t="s">
        <v>248</v>
      </c>
      <c r="I92" s="108">
        <v>20.329999999999998</v>
      </c>
      <c r="J92" s="77">
        <v>5.5</v>
      </c>
      <c r="K92" s="6">
        <v>5.5</v>
      </c>
      <c r="L92" s="6"/>
      <c r="M92" s="182" t="s">
        <v>1595</v>
      </c>
      <c r="N92" s="183" t="s">
        <v>279</v>
      </c>
    </row>
    <row r="93" spans="1:14" ht="34.950000000000003" customHeight="1" x14ac:dyDescent="0.3">
      <c r="A93" s="22">
        <f t="shared" si="0"/>
        <v>12</v>
      </c>
      <c r="B93" s="112" t="s">
        <v>834</v>
      </c>
      <c r="C93" s="147" t="s">
        <v>1395</v>
      </c>
      <c r="D93" s="6" t="s">
        <v>1396</v>
      </c>
      <c r="E93" s="94"/>
      <c r="F93" s="109"/>
      <c r="G93" s="109"/>
      <c r="H93" s="108" t="s">
        <v>247</v>
      </c>
      <c r="I93" s="108">
        <v>1.8140000000000001</v>
      </c>
      <c r="J93" s="77">
        <v>9</v>
      </c>
      <c r="K93" s="6">
        <v>9</v>
      </c>
      <c r="L93" s="6"/>
      <c r="M93" s="182" t="s">
        <v>1595</v>
      </c>
      <c r="N93" s="183" t="s">
        <v>810</v>
      </c>
    </row>
    <row r="94" spans="1:14" ht="34.950000000000003" customHeight="1" x14ac:dyDescent="0.3">
      <c r="A94" s="22">
        <f t="shared" si="0"/>
        <v>13</v>
      </c>
      <c r="B94" s="112" t="s">
        <v>835</v>
      </c>
      <c r="C94" s="147" t="s">
        <v>1396</v>
      </c>
      <c r="D94" s="6" t="s">
        <v>1397</v>
      </c>
      <c r="E94" s="94"/>
      <c r="F94" s="109"/>
      <c r="G94" s="109"/>
      <c r="H94" s="108" t="s">
        <v>248</v>
      </c>
      <c r="I94" s="108">
        <v>16.86</v>
      </c>
      <c r="J94" s="77">
        <v>5.5</v>
      </c>
      <c r="K94" s="6">
        <v>5.5</v>
      </c>
      <c r="L94" s="6"/>
      <c r="M94" s="182" t="s">
        <v>1595</v>
      </c>
      <c r="N94" s="183" t="s">
        <v>279</v>
      </c>
    </row>
    <row r="95" spans="1:14" ht="34.950000000000003" customHeight="1" x14ac:dyDescent="0.3">
      <c r="A95" s="22">
        <f t="shared" si="0"/>
        <v>14</v>
      </c>
      <c r="B95" s="112" t="s">
        <v>836</v>
      </c>
      <c r="C95" s="147" t="s">
        <v>1397</v>
      </c>
      <c r="D95" s="6" t="s">
        <v>1398</v>
      </c>
      <c r="E95" s="94"/>
      <c r="F95" s="109"/>
      <c r="G95" s="109"/>
      <c r="H95" s="108" t="s">
        <v>247</v>
      </c>
      <c r="I95" s="108">
        <v>2</v>
      </c>
      <c r="J95" s="77">
        <v>9</v>
      </c>
      <c r="K95" s="6">
        <v>9</v>
      </c>
      <c r="L95" s="6"/>
      <c r="M95" s="182" t="s">
        <v>1595</v>
      </c>
      <c r="N95" s="183" t="s">
        <v>810</v>
      </c>
    </row>
    <row r="96" spans="1:14" ht="34.950000000000003" customHeight="1" x14ac:dyDescent="0.3">
      <c r="A96" s="22">
        <f t="shared" si="0"/>
        <v>15</v>
      </c>
      <c r="B96" s="112" t="s">
        <v>837</v>
      </c>
      <c r="C96" s="147" t="s">
        <v>1398</v>
      </c>
      <c r="D96" s="6" t="s">
        <v>1399</v>
      </c>
      <c r="E96" s="94"/>
      <c r="F96" s="109"/>
      <c r="G96" s="109"/>
      <c r="H96" s="108" t="s">
        <v>248</v>
      </c>
      <c r="I96" s="108">
        <v>29.6</v>
      </c>
      <c r="J96" s="77">
        <v>5.5</v>
      </c>
      <c r="K96" s="6">
        <v>5.5</v>
      </c>
      <c r="L96" s="6"/>
      <c r="M96" s="182" t="s">
        <v>1595</v>
      </c>
      <c r="N96" s="183" t="s">
        <v>279</v>
      </c>
    </row>
    <row r="97" spans="1:14" ht="34.950000000000003" customHeight="1" x14ac:dyDescent="0.3">
      <c r="A97" s="22">
        <f t="shared" si="0"/>
        <v>16</v>
      </c>
      <c r="B97" s="112" t="s">
        <v>838</v>
      </c>
      <c r="C97" s="147" t="s">
        <v>1399</v>
      </c>
      <c r="D97" s="6" t="s">
        <v>1400</v>
      </c>
      <c r="E97" s="94"/>
      <c r="F97" s="109"/>
      <c r="G97" s="109"/>
      <c r="H97" s="108" t="s">
        <v>247</v>
      </c>
      <c r="I97" s="108">
        <v>1.2</v>
      </c>
      <c r="J97" s="77">
        <v>9</v>
      </c>
      <c r="K97" s="6">
        <v>9</v>
      </c>
      <c r="L97" s="6"/>
      <c r="M97" s="182" t="s">
        <v>1595</v>
      </c>
      <c r="N97" s="183" t="s">
        <v>810</v>
      </c>
    </row>
    <row r="98" spans="1:14" ht="34.950000000000003" customHeight="1" x14ac:dyDescent="0.3">
      <c r="A98" s="22">
        <f t="shared" si="0"/>
        <v>17</v>
      </c>
      <c r="B98" s="112" t="s">
        <v>839</v>
      </c>
      <c r="C98" s="147" t="s">
        <v>1400</v>
      </c>
      <c r="D98" s="6" t="s">
        <v>1401</v>
      </c>
      <c r="E98" s="94"/>
      <c r="F98" s="109"/>
      <c r="G98" s="109"/>
      <c r="H98" s="108" t="s">
        <v>248</v>
      </c>
      <c r="I98" s="108">
        <v>15</v>
      </c>
      <c r="J98" s="77">
        <v>5.5</v>
      </c>
      <c r="K98" s="6">
        <v>5.5</v>
      </c>
      <c r="L98" s="6"/>
      <c r="M98" s="182" t="s">
        <v>1595</v>
      </c>
      <c r="N98" s="183" t="s">
        <v>279</v>
      </c>
    </row>
    <row r="99" spans="1:14" ht="34.950000000000003" customHeight="1" x14ac:dyDescent="0.3">
      <c r="A99" s="22">
        <f t="shared" si="0"/>
        <v>18</v>
      </c>
      <c r="B99" s="112" t="s">
        <v>840</v>
      </c>
      <c r="C99" s="147" t="s">
        <v>1401</v>
      </c>
      <c r="D99" s="6" t="s">
        <v>1402</v>
      </c>
      <c r="E99" s="94"/>
      <c r="F99" s="109"/>
      <c r="G99" s="109"/>
      <c r="H99" s="108" t="s">
        <v>247</v>
      </c>
      <c r="I99" s="108">
        <v>4.5999999999999996</v>
      </c>
      <c r="J99" s="77">
        <v>9</v>
      </c>
      <c r="K99" s="6">
        <v>9</v>
      </c>
      <c r="L99" s="6"/>
      <c r="M99" s="182" t="s">
        <v>1595</v>
      </c>
      <c r="N99" s="183" t="s">
        <v>810</v>
      </c>
    </row>
    <row r="100" spans="1:14" ht="34.950000000000003" customHeight="1" x14ac:dyDescent="0.3">
      <c r="A100" s="22">
        <f t="shared" si="0"/>
        <v>19</v>
      </c>
      <c r="B100" s="112" t="s">
        <v>841</v>
      </c>
      <c r="C100" s="147" t="s">
        <v>1402</v>
      </c>
      <c r="D100" s="6" t="s">
        <v>1403</v>
      </c>
      <c r="E100" s="94"/>
      <c r="F100" s="109"/>
      <c r="G100" s="109"/>
      <c r="H100" s="108" t="s">
        <v>248</v>
      </c>
      <c r="I100" s="108">
        <v>7.6</v>
      </c>
      <c r="J100" s="77">
        <v>5.5</v>
      </c>
      <c r="K100" s="6">
        <v>5.5</v>
      </c>
      <c r="L100" s="6"/>
      <c r="M100" s="182" t="s">
        <v>1595</v>
      </c>
      <c r="N100" s="183" t="s">
        <v>279</v>
      </c>
    </row>
    <row r="101" spans="1:14" ht="34.950000000000003" customHeight="1" x14ac:dyDescent="0.3">
      <c r="A101" s="22">
        <f t="shared" si="0"/>
        <v>20</v>
      </c>
      <c r="B101" s="112" t="s">
        <v>842</v>
      </c>
      <c r="C101" s="147" t="s">
        <v>1403</v>
      </c>
      <c r="D101" s="6" t="s">
        <v>1404</v>
      </c>
      <c r="E101" s="94"/>
      <c r="F101" s="109"/>
      <c r="G101" s="109"/>
      <c r="H101" s="108" t="s">
        <v>247</v>
      </c>
      <c r="I101" s="108">
        <v>1</v>
      </c>
      <c r="J101" s="77">
        <v>9</v>
      </c>
      <c r="K101" s="6">
        <v>9</v>
      </c>
      <c r="L101" s="6"/>
      <c r="M101" s="182" t="s">
        <v>1595</v>
      </c>
      <c r="N101" s="183" t="s">
        <v>810</v>
      </c>
    </row>
    <row r="102" spans="1:14" ht="34.950000000000003" customHeight="1" x14ac:dyDescent="0.3">
      <c r="A102" s="22">
        <f t="shared" si="0"/>
        <v>21</v>
      </c>
      <c r="B102" s="112" t="s">
        <v>843</v>
      </c>
      <c r="C102" s="147" t="s">
        <v>1404</v>
      </c>
      <c r="D102" s="6" t="s">
        <v>1405</v>
      </c>
      <c r="E102" s="94"/>
      <c r="F102" s="109"/>
      <c r="G102" s="109" t="s">
        <v>1187</v>
      </c>
      <c r="H102" s="108" t="s">
        <v>248</v>
      </c>
      <c r="I102" s="108">
        <v>18</v>
      </c>
      <c r="J102" s="77">
        <v>5.5</v>
      </c>
      <c r="K102" s="6">
        <v>5.5</v>
      </c>
      <c r="L102" s="6"/>
      <c r="M102" s="182" t="s">
        <v>1595</v>
      </c>
      <c r="N102" s="183" t="s">
        <v>279</v>
      </c>
    </row>
    <row r="103" spans="1:14" s="95" customFormat="1" ht="34.950000000000003" customHeight="1" x14ac:dyDescent="0.3">
      <c r="A103" s="134" t="s">
        <v>806</v>
      </c>
      <c r="B103" s="135" t="s">
        <v>1575</v>
      </c>
      <c r="C103" s="148"/>
      <c r="D103" s="130"/>
      <c r="E103" s="131"/>
      <c r="F103" s="134"/>
      <c r="G103" s="134"/>
      <c r="H103" s="134"/>
      <c r="I103" s="142"/>
      <c r="J103" s="77"/>
      <c r="K103" s="6"/>
      <c r="L103" s="6"/>
      <c r="M103" s="6"/>
      <c r="N103" s="184"/>
    </row>
    <row r="104" spans="1:14" s="95" customFormat="1" ht="34.950000000000003" customHeight="1" x14ac:dyDescent="0.3">
      <c r="A104" s="134" t="s">
        <v>245</v>
      </c>
      <c r="B104" s="138" t="s">
        <v>12</v>
      </c>
      <c r="C104" s="148"/>
      <c r="D104" s="130"/>
      <c r="E104" s="127">
        <v>2023</v>
      </c>
      <c r="F104" s="143"/>
      <c r="G104" s="143"/>
      <c r="H104" s="143"/>
      <c r="I104" s="133">
        <v>39.799999999999997</v>
      </c>
      <c r="J104" s="77"/>
      <c r="K104" s="6"/>
      <c r="L104" s="6"/>
      <c r="M104" s="6"/>
      <c r="N104" s="184"/>
    </row>
    <row r="105" spans="1:14" ht="34.950000000000003" customHeight="1" x14ac:dyDescent="0.3">
      <c r="A105" s="3">
        <v>1</v>
      </c>
      <c r="B105" s="106" t="s">
        <v>242</v>
      </c>
      <c r="C105" s="147" t="s">
        <v>1406</v>
      </c>
      <c r="D105" s="6" t="s">
        <v>1407</v>
      </c>
      <c r="E105" s="93"/>
      <c r="F105" s="97" t="s">
        <v>1188</v>
      </c>
      <c r="G105" s="97"/>
      <c r="H105" s="97" t="s">
        <v>247</v>
      </c>
      <c r="I105" s="98">
        <v>7.5</v>
      </c>
      <c r="J105" s="77">
        <v>8</v>
      </c>
      <c r="K105" s="6">
        <v>8</v>
      </c>
      <c r="L105" s="6"/>
      <c r="M105" s="182" t="s">
        <v>1595</v>
      </c>
      <c r="N105" s="179" t="s">
        <v>264</v>
      </c>
    </row>
    <row r="106" spans="1:14" ht="34.950000000000003" customHeight="1" x14ac:dyDescent="0.3">
      <c r="A106" s="3">
        <v>2</v>
      </c>
      <c r="B106" s="106" t="s">
        <v>243</v>
      </c>
      <c r="C106" s="147" t="s">
        <v>1407</v>
      </c>
      <c r="D106" s="6" t="s">
        <v>1408</v>
      </c>
      <c r="E106" s="93"/>
      <c r="F106" s="97"/>
      <c r="G106" s="97"/>
      <c r="H106" s="97"/>
      <c r="I106" s="98">
        <v>20.5</v>
      </c>
      <c r="J106" s="77"/>
      <c r="K106" s="6"/>
      <c r="L106" s="6"/>
      <c r="M106" s="6" t="s">
        <v>1596</v>
      </c>
      <c r="N106" s="179" t="s">
        <v>167</v>
      </c>
    </row>
    <row r="107" spans="1:14" ht="34.950000000000003" customHeight="1" x14ac:dyDescent="0.3">
      <c r="A107" s="3">
        <v>3</v>
      </c>
      <c r="B107" s="106" t="s">
        <v>244</v>
      </c>
      <c r="C107" s="147" t="s">
        <v>1408</v>
      </c>
      <c r="D107" s="6" t="s">
        <v>1409</v>
      </c>
      <c r="E107" s="93"/>
      <c r="F107" s="97"/>
      <c r="G107" s="97" t="s">
        <v>1189</v>
      </c>
      <c r="H107" s="97" t="s">
        <v>248</v>
      </c>
      <c r="I107" s="98">
        <v>11.8</v>
      </c>
      <c r="J107" s="77">
        <v>6.5</v>
      </c>
      <c r="K107" s="6">
        <v>6.5</v>
      </c>
      <c r="L107" s="6"/>
      <c r="M107" s="182" t="s">
        <v>1595</v>
      </c>
      <c r="N107" s="179" t="s">
        <v>263</v>
      </c>
    </row>
    <row r="108" spans="1:14" ht="34.950000000000003" customHeight="1" x14ac:dyDescent="0.3">
      <c r="A108" s="131" t="s">
        <v>246</v>
      </c>
      <c r="B108" s="132" t="s">
        <v>14</v>
      </c>
      <c r="C108" s="148"/>
      <c r="D108" s="130"/>
      <c r="E108" s="125">
        <v>2015</v>
      </c>
      <c r="F108" s="133"/>
      <c r="G108" s="133"/>
      <c r="H108" s="133"/>
      <c r="I108" s="133">
        <v>50.599999999999994</v>
      </c>
      <c r="J108" s="77"/>
      <c r="K108" s="6"/>
      <c r="L108" s="6"/>
      <c r="M108" s="6"/>
      <c r="N108" s="178"/>
    </row>
    <row r="109" spans="1:14" ht="34.950000000000003" customHeight="1" x14ac:dyDescent="0.3">
      <c r="A109" s="8">
        <v>1</v>
      </c>
      <c r="B109" s="122" t="s">
        <v>260</v>
      </c>
      <c r="C109" s="147" t="s">
        <v>1406</v>
      </c>
      <c r="D109" s="6" t="s">
        <v>69</v>
      </c>
      <c r="E109" s="93"/>
      <c r="F109" s="97" t="s">
        <v>1190</v>
      </c>
      <c r="G109" s="97"/>
      <c r="H109" s="97" t="s">
        <v>249</v>
      </c>
      <c r="I109" s="96">
        <v>10.8</v>
      </c>
      <c r="J109" s="77">
        <v>3.5</v>
      </c>
      <c r="K109" s="6">
        <v>3.5</v>
      </c>
      <c r="L109" s="6"/>
      <c r="M109" s="182" t="s">
        <v>1595</v>
      </c>
      <c r="N109" s="179" t="s">
        <v>262</v>
      </c>
    </row>
    <row r="110" spans="1:14" ht="34.950000000000003" customHeight="1" x14ac:dyDescent="0.3">
      <c r="A110" s="8">
        <v>2</v>
      </c>
      <c r="B110" s="122" t="s">
        <v>261</v>
      </c>
      <c r="C110" s="147" t="s">
        <v>69</v>
      </c>
      <c r="D110" s="6" t="s">
        <v>1410</v>
      </c>
      <c r="E110" s="93"/>
      <c r="F110" s="97"/>
      <c r="G110" s="97" t="s">
        <v>1191</v>
      </c>
      <c r="H110" s="97"/>
      <c r="I110" s="96">
        <v>39.799999999999997</v>
      </c>
      <c r="J110" s="77"/>
      <c r="K110" s="6"/>
      <c r="L110" s="6"/>
      <c r="M110" s="6" t="s">
        <v>1596</v>
      </c>
      <c r="N110" s="179" t="s">
        <v>167</v>
      </c>
    </row>
    <row r="111" spans="1:14" ht="34.950000000000003" customHeight="1" x14ac:dyDescent="0.3">
      <c r="A111" s="131" t="s">
        <v>247</v>
      </c>
      <c r="B111" s="132" t="s">
        <v>15</v>
      </c>
      <c r="C111" s="148"/>
      <c r="D111" s="130"/>
      <c r="E111" s="125">
        <v>2018</v>
      </c>
      <c r="F111" s="133"/>
      <c r="G111" s="133"/>
      <c r="H111" s="133"/>
      <c r="I111" s="133">
        <v>37.6</v>
      </c>
      <c r="J111" s="77"/>
      <c r="K111" s="6"/>
      <c r="L111" s="6"/>
      <c r="M111" s="6"/>
      <c r="N111" s="178"/>
    </row>
    <row r="112" spans="1:14" s="18" customFormat="1" ht="34.950000000000003" customHeight="1" x14ac:dyDescent="0.3">
      <c r="A112" s="22">
        <v>1</v>
      </c>
      <c r="B112" s="112" t="s">
        <v>1574</v>
      </c>
      <c r="C112" s="121" t="s">
        <v>1406</v>
      </c>
      <c r="D112" s="17" t="s">
        <v>1411</v>
      </c>
      <c r="E112" s="94"/>
      <c r="F112" s="109" t="s">
        <v>1192</v>
      </c>
      <c r="G112" s="109"/>
      <c r="H112" s="109" t="s">
        <v>247</v>
      </c>
      <c r="I112" s="108">
        <v>0.78600000000000003</v>
      </c>
      <c r="J112" s="154">
        <v>9</v>
      </c>
      <c r="K112" s="17">
        <v>9</v>
      </c>
      <c r="L112" s="17"/>
      <c r="M112" s="6" t="s">
        <v>1595</v>
      </c>
      <c r="N112" s="183" t="s">
        <v>294</v>
      </c>
    </row>
    <row r="113" spans="1:14" ht="34.950000000000003" customHeight="1" x14ac:dyDescent="0.3">
      <c r="A113" s="8">
        <v>2</v>
      </c>
      <c r="B113" s="122" t="s">
        <v>296</v>
      </c>
      <c r="C113" s="147" t="s">
        <v>1411</v>
      </c>
      <c r="D113" s="6" t="s">
        <v>1412</v>
      </c>
      <c r="E113" s="93"/>
      <c r="F113" s="97"/>
      <c r="G113" s="97"/>
      <c r="H113" s="97" t="s">
        <v>249</v>
      </c>
      <c r="I113" s="96">
        <v>27.213999999999999</v>
      </c>
      <c r="J113" s="77" t="s">
        <v>1269</v>
      </c>
      <c r="K113" s="6" t="s">
        <v>1270</v>
      </c>
      <c r="L113" s="6"/>
      <c r="M113" s="6" t="s">
        <v>1595</v>
      </c>
      <c r="N113" s="179" t="s">
        <v>295</v>
      </c>
    </row>
    <row r="114" spans="1:14" ht="34.950000000000003" customHeight="1" x14ac:dyDescent="0.3">
      <c r="A114" s="8">
        <v>3</v>
      </c>
      <c r="B114" s="122" t="s">
        <v>297</v>
      </c>
      <c r="C114" s="147" t="s">
        <v>1412</v>
      </c>
      <c r="D114" s="6" t="s">
        <v>1413</v>
      </c>
      <c r="E114" s="93"/>
      <c r="F114" s="97"/>
      <c r="G114" s="97" t="s">
        <v>1193</v>
      </c>
      <c r="H114" s="97"/>
      <c r="I114" s="96">
        <v>9.6</v>
      </c>
      <c r="J114" s="77"/>
      <c r="K114" s="6"/>
      <c r="L114" s="6"/>
      <c r="M114" s="6" t="s">
        <v>1596</v>
      </c>
      <c r="N114" s="179" t="s">
        <v>167</v>
      </c>
    </row>
    <row r="115" spans="1:14" ht="34.950000000000003" customHeight="1" x14ac:dyDescent="0.3">
      <c r="A115" s="131" t="s">
        <v>248</v>
      </c>
      <c r="B115" s="132" t="s">
        <v>16</v>
      </c>
      <c r="C115" s="148"/>
      <c r="D115" s="130"/>
      <c r="E115" s="125">
        <v>2015</v>
      </c>
      <c r="F115" s="133"/>
      <c r="G115" s="133"/>
      <c r="H115" s="133"/>
      <c r="I115" s="140">
        <v>68.501049999999992</v>
      </c>
      <c r="J115" s="77"/>
      <c r="K115" s="6"/>
      <c r="L115" s="6"/>
      <c r="M115" s="6"/>
      <c r="N115" s="178"/>
    </row>
    <row r="116" spans="1:14" ht="34.950000000000003" customHeight="1" x14ac:dyDescent="0.3">
      <c r="A116" s="8">
        <v>1</v>
      </c>
      <c r="B116" s="122" t="s">
        <v>358</v>
      </c>
      <c r="C116" s="147" t="s">
        <v>1406</v>
      </c>
      <c r="D116" s="6" t="s">
        <v>1414</v>
      </c>
      <c r="E116" s="93"/>
      <c r="F116" s="97" t="s">
        <v>1194</v>
      </c>
      <c r="G116" s="97"/>
      <c r="H116" s="97"/>
      <c r="I116" s="98">
        <v>14.4</v>
      </c>
      <c r="J116" s="77">
        <v>4</v>
      </c>
      <c r="K116" s="6">
        <v>4</v>
      </c>
      <c r="L116" s="6"/>
      <c r="M116" s="6" t="s">
        <v>1597</v>
      </c>
      <c r="N116" s="179" t="s">
        <v>1572</v>
      </c>
    </row>
    <row r="117" spans="1:14" ht="34.950000000000003" customHeight="1" x14ac:dyDescent="0.3">
      <c r="A117" s="8">
        <v>1</v>
      </c>
      <c r="B117" s="122" t="s">
        <v>286</v>
      </c>
      <c r="C117" s="147" t="s">
        <v>1406</v>
      </c>
      <c r="D117" s="6" t="s">
        <v>1415</v>
      </c>
      <c r="E117" s="93"/>
      <c r="F117" s="97" t="s">
        <v>1573</v>
      </c>
      <c r="G117" s="97"/>
      <c r="H117" s="97" t="s">
        <v>248</v>
      </c>
      <c r="I117" s="96">
        <v>13.3</v>
      </c>
      <c r="J117" s="77">
        <v>5.5</v>
      </c>
      <c r="K117" s="6">
        <v>5.5</v>
      </c>
      <c r="L117" s="6"/>
      <c r="M117" s="6" t="s">
        <v>1595</v>
      </c>
      <c r="N117" s="179" t="s">
        <v>287</v>
      </c>
    </row>
    <row r="118" spans="1:14" ht="34.950000000000003" customHeight="1" x14ac:dyDescent="0.3">
      <c r="A118" s="8">
        <v>2</v>
      </c>
      <c r="B118" s="122" t="s">
        <v>288</v>
      </c>
      <c r="C118" s="147" t="s">
        <v>1415</v>
      </c>
      <c r="D118" s="6" t="s">
        <v>1416</v>
      </c>
      <c r="E118" s="93"/>
      <c r="F118" s="97"/>
      <c r="G118" s="97"/>
      <c r="H118" s="97" t="s">
        <v>249</v>
      </c>
      <c r="I118" s="96">
        <v>8.4</v>
      </c>
      <c r="J118" s="77">
        <v>5.5</v>
      </c>
      <c r="K118" s="6">
        <v>5.5</v>
      </c>
      <c r="L118" s="6"/>
      <c r="M118" s="6" t="s">
        <v>1595</v>
      </c>
      <c r="N118" s="179" t="s">
        <v>289</v>
      </c>
    </row>
    <row r="119" spans="1:14" ht="34.950000000000003" customHeight="1" x14ac:dyDescent="0.3">
      <c r="A119" s="8">
        <v>3</v>
      </c>
      <c r="B119" s="122" t="s">
        <v>290</v>
      </c>
      <c r="C119" s="147" t="s">
        <v>1416</v>
      </c>
      <c r="D119" s="6" t="s">
        <v>1417</v>
      </c>
      <c r="E119" s="93"/>
      <c r="F119" s="97"/>
      <c r="G119" s="97"/>
      <c r="H119" s="97" t="s">
        <v>249</v>
      </c>
      <c r="I119" s="96">
        <v>24.05</v>
      </c>
      <c r="J119" s="77">
        <v>6.5</v>
      </c>
      <c r="K119" s="6">
        <v>6.5</v>
      </c>
      <c r="L119" s="6"/>
      <c r="M119" s="6" t="s">
        <v>1595</v>
      </c>
      <c r="N119" s="179" t="s">
        <v>291</v>
      </c>
    </row>
    <row r="120" spans="1:14" ht="34.950000000000003" customHeight="1" x14ac:dyDescent="0.3">
      <c r="A120" s="8">
        <v>4</v>
      </c>
      <c r="B120" s="122" t="s">
        <v>292</v>
      </c>
      <c r="C120" s="147" t="s">
        <v>1417</v>
      </c>
      <c r="D120" s="6" t="s">
        <v>1418</v>
      </c>
      <c r="E120" s="93"/>
      <c r="F120" s="97"/>
      <c r="G120" s="97" t="s">
        <v>1192</v>
      </c>
      <c r="H120" s="97" t="s">
        <v>247</v>
      </c>
      <c r="I120" s="96">
        <v>8.35</v>
      </c>
      <c r="J120" s="77">
        <v>8</v>
      </c>
      <c r="K120" s="6">
        <v>8</v>
      </c>
      <c r="L120" s="6"/>
      <c r="M120" s="6" t="s">
        <v>1595</v>
      </c>
      <c r="N120" s="179" t="s">
        <v>293</v>
      </c>
    </row>
    <row r="121" spans="1:14" ht="34.950000000000003" customHeight="1" x14ac:dyDescent="0.3">
      <c r="A121" s="131" t="s">
        <v>249</v>
      </c>
      <c r="B121" s="144" t="s">
        <v>103</v>
      </c>
      <c r="C121" s="148"/>
      <c r="D121" s="130"/>
      <c r="E121" s="145"/>
      <c r="F121" s="140"/>
      <c r="G121" s="140"/>
      <c r="H121" s="140"/>
      <c r="I121" s="140">
        <v>54.999999999999986</v>
      </c>
      <c r="J121" s="77"/>
      <c r="K121" s="6"/>
      <c r="L121" s="6"/>
      <c r="M121" s="6"/>
      <c r="N121" s="178"/>
    </row>
    <row r="122" spans="1:14" ht="34.950000000000003" customHeight="1" x14ac:dyDescent="0.3">
      <c r="A122" s="14">
        <v>1</v>
      </c>
      <c r="B122" s="123" t="s">
        <v>298</v>
      </c>
      <c r="C122" s="147" t="s">
        <v>1419</v>
      </c>
      <c r="D122" s="6" t="s">
        <v>1420</v>
      </c>
      <c r="E122" s="93"/>
      <c r="F122" s="97" t="s">
        <v>1195</v>
      </c>
      <c r="G122" s="97"/>
      <c r="H122" s="98"/>
      <c r="I122" s="98">
        <v>13</v>
      </c>
      <c r="J122" s="77"/>
      <c r="K122" s="6"/>
      <c r="L122" s="6"/>
      <c r="M122" s="6" t="s">
        <v>1596</v>
      </c>
      <c r="N122" s="182" t="s">
        <v>167</v>
      </c>
    </row>
    <row r="123" spans="1:14" ht="34.950000000000003" customHeight="1" x14ac:dyDescent="0.3">
      <c r="A123" s="8">
        <v>2</v>
      </c>
      <c r="B123" s="123" t="s">
        <v>299</v>
      </c>
      <c r="C123" s="147" t="s">
        <v>1421</v>
      </c>
      <c r="D123" s="6" t="s">
        <v>1422</v>
      </c>
      <c r="E123" s="93"/>
      <c r="F123" s="97"/>
      <c r="G123" s="97"/>
      <c r="H123" s="98"/>
      <c r="I123" s="98">
        <v>28</v>
      </c>
      <c r="J123" s="77"/>
      <c r="K123" s="6"/>
      <c r="L123" s="6"/>
      <c r="M123" s="6" t="s">
        <v>1598</v>
      </c>
      <c r="N123" s="182" t="s">
        <v>300</v>
      </c>
    </row>
    <row r="124" spans="1:14" ht="34.950000000000003" customHeight="1" x14ac:dyDescent="0.3">
      <c r="A124" s="8">
        <v>3</v>
      </c>
      <c r="B124" s="123" t="s">
        <v>301</v>
      </c>
      <c r="C124" s="147" t="s">
        <v>1422</v>
      </c>
      <c r="D124" s="6" t="s">
        <v>1578</v>
      </c>
      <c r="E124" s="93">
        <v>2019</v>
      </c>
      <c r="F124" s="97"/>
      <c r="G124" s="97" t="s">
        <v>1196</v>
      </c>
      <c r="H124" s="98" t="s">
        <v>248</v>
      </c>
      <c r="I124" s="98">
        <v>14</v>
      </c>
      <c r="J124" s="77">
        <v>3</v>
      </c>
      <c r="K124" s="6">
        <v>3</v>
      </c>
      <c r="L124" s="6"/>
      <c r="M124" s="6" t="s">
        <v>1595</v>
      </c>
      <c r="N124" s="179" t="s">
        <v>302</v>
      </c>
    </row>
    <row r="125" spans="1:14" ht="34.950000000000003" customHeight="1" x14ac:dyDescent="0.3">
      <c r="A125" s="131" t="s">
        <v>250</v>
      </c>
      <c r="B125" s="132" t="s">
        <v>19</v>
      </c>
      <c r="C125" s="148"/>
      <c r="D125" s="130"/>
      <c r="E125" s="125">
        <v>2013</v>
      </c>
      <c r="F125" s="133"/>
      <c r="G125" s="133"/>
      <c r="H125" s="133"/>
      <c r="I125" s="133">
        <v>66.300000000000011</v>
      </c>
      <c r="J125" s="77"/>
      <c r="K125" s="6"/>
      <c r="L125" s="6"/>
      <c r="M125" s="6"/>
      <c r="N125" s="178"/>
    </row>
    <row r="126" spans="1:14" ht="34.950000000000003" customHeight="1" x14ac:dyDescent="0.3">
      <c r="A126" s="9">
        <v>1</v>
      </c>
      <c r="B126" s="123" t="s">
        <v>314</v>
      </c>
      <c r="C126" s="147" t="s">
        <v>1423</v>
      </c>
      <c r="D126" s="6" t="s">
        <v>1424</v>
      </c>
      <c r="E126" s="93"/>
      <c r="F126" s="97" t="s">
        <v>1198</v>
      </c>
      <c r="G126" s="97"/>
      <c r="H126" s="98"/>
      <c r="I126" s="98">
        <v>18.3</v>
      </c>
      <c r="J126" s="77">
        <v>6.5</v>
      </c>
      <c r="K126" s="6">
        <v>6.5</v>
      </c>
      <c r="L126" s="6"/>
      <c r="M126" s="6" t="s">
        <v>1599</v>
      </c>
      <c r="N126" s="182" t="s">
        <v>315</v>
      </c>
    </row>
    <row r="127" spans="1:14" ht="34.950000000000003" customHeight="1" x14ac:dyDescent="0.3">
      <c r="A127" s="9">
        <v>2</v>
      </c>
      <c r="B127" s="123" t="s">
        <v>316</v>
      </c>
      <c r="C127" s="147" t="s">
        <v>1425</v>
      </c>
      <c r="D127" s="6" t="s">
        <v>1426</v>
      </c>
      <c r="E127" s="93"/>
      <c r="F127" s="97"/>
      <c r="G127" s="97"/>
      <c r="H127" s="98"/>
      <c r="I127" s="98">
        <v>2.8</v>
      </c>
      <c r="J127" s="77"/>
      <c r="K127" s="6"/>
      <c r="L127" s="6" t="str">
        <f>N127</f>
        <v>Đi chung với QL.4E</v>
      </c>
      <c r="M127" s="6" t="s">
        <v>1595</v>
      </c>
      <c r="N127" s="190" t="s">
        <v>1589</v>
      </c>
    </row>
    <row r="128" spans="1:14" ht="34.950000000000003" customHeight="1" x14ac:dyDescent="0.3">
      <c r="A128" s="9">
        <v>2</v>
      </c>
      <c r="B128" s="123" t="s">
        <v>317</v>
      </c>
      <c r="C128" s="147" t="s">
        <v>1427</v>
      </c>
      <c r="D128" s="6" t="s">
        <v>1428</v>
      </c>
      <c r="E128" s="93"/>
      <c r="F128" s="97"/>
      <c r="G128" s="97"/>
      <c r="H128" s="98"/>
      <c r="I128" s="98">
        <v>10</v>
      </c>
      <c r="J128" s="77">
        <v>6.5</v>
      </c>
      <c r="K128" s="6">
        <v>6.5</v>
      </c>
      <c r="L128" s="6"/>
      <c r="M128" s="6" t="s">
        <v>1599</v>
      </c>
      <c r="N128" s="182" t="s">
        <v>315</v>
      </c>
    </row>
    <row r="129" spans="1:14" ht="34.950000000000003" customHeight="1" x14ac:dyDescent="0.3">
      <c r="A129" s="9">
        <v>3</v>
      </c>
      <c r="B129" s="123" t="s">
        <v>318</v>
      </c>
      <c r="C129" s="147" t="s">
        <v>1429</v>
      </c>
      <c r="D129" s="6" t="s">
        <v>1430</v>
      </c>
      <c r="E129" s="93"/>
      <c r="F129" s="97"/>
      <c r="G129" s="97" t="s">
        <v>1197</v>
      </c>
      <c r="H129" s="98" t="s">
        <v>1600</v>
      </c>
      <c r="I129" s="98">
        <v>43</v>
      </c>
      <c r="J129" s="77">
        <v>3.5</v>
      </c>
      <c r="K129" s="6">
        <v>3.5</v>
      </c>
      <c r="L129" s="6"/>
      <c r="M129" s="6" t="s">
        <v>1597</v>
      </c>
      <c r="N129" s="182" t="s">
        <v>319</v>
      </c>
    </row>
    <row r="130" spans="1:14" ht="34.950000000000003" customHeight="1" x14ac:dyDescent="0.3">
      <c r="A130" s="131" t="s">
        <v>251</v>
      </c>
      <c r="B130" s="132" t="s">
        <v>143</v>
      </c>
      <c r="C130" s="148"/>
      <c r="D130" s="130"/>
      <c r="E130" s="125">
        <v>2010</v>
      </c>
      <c r="F130" s="133"/>
      <c r="G130" s="133"/>
      <c r="H130" s="133"/>
      <c r="I130" s="133">
        <v>109</v>
      </c>
      <c r="J130" s="77"/>
      <c r="K130" s="6"/>
      <c r="L130" s="6"/>
      <c r="M130" s="6"/>
      <c r="N130" s="178"/>
    </row>
    <row r="131" spans="1:14" ht="34.950000000000003" customHeight="1" x14ac:dyDescent="0.3">
      <c r="A131" s="9">
        <v>1</v>
      </c>
      <c r="B131" s="123" t="s">
        <v>265</v>
      </c>
      <c r="C131" s="147" t="s">
        <v>1406</v>
      </c>
      <c r="D131" s="6" t="s">
        <v>1431</v>
      </c>
      <c r="E131" s="93"/>
      <c r="F131" s="97" t="s">
        <v>1199</v>
      </c>
      <c r="G131" s="97"/>
      <c r="H131" s="98"/>
      <c r="I131" s="98">
        <v>2.9</v>
      </c>
      <c r="J131" s="77">
        <v>5.5</v>
      </c>
      <c r="K131" s="6">
        <v>5.5</v>
      </c>
      <c r="L131" s="6"/>
      <c r="M131" s="6" t="s">
        <v>1596</v>
      </c>
      <c r="N131" s="179" t="s">
        <v>167</v>
      </c>
    </row>
    <row r="132" spans="1:14" ht="34.950000000000003" customHeight="1" x14ac:dyDescent="0.3">
      <c r="A132" s="9">
        <v>2</v>
      </c>
      <c r="B132" s="123" t="s">
        <v>267</v>
      </c>
      <c r="C132" s="147" t="s">
        <v>1431</v>
      </c>
      <c r="D132" s="6" t="s">
        <v>1432</v>
      </c>
      <c r="E132" s="93"/>
      <c r="F132" s="97"/>
      <c r="G132" s="97"/>
      <c r="H132" s="98" t="s">
        <v>1600</v>
      </c>
      <c r="I132" s="98">
        <v>5.6</v>
      </c>
      <c r="J132" s="77">
        <v>3</v>
      </c>
      <c r="K132" s="6">
        <v>3</v>
      </c>
      <c r="L132" s="6"/>
      <c r="M132" s="6" t="s">
        <v>1597</v>
      </c>
      <c r="N132" s="179" t="s">
        <v>266</v>
      </c>
    </row>
    <row r="133" spans="1:14" ht="34.950000000000003" customHeight="1" x14ac:dyDescent="0.3">
      <c r="A133" s="9">
        <v>3</v>
      </c>
      <c r="B133" s="123" t="s">
        <v>268</v>
      </c>
      <c r="C133" s="147" t="s">
        <v>1432</v>
      </c>
      <c r="D133" s="6" t="s">
        <v>1433</v>
      </c>
      <c r="E133" s="93"/>
      <c r="F133" s="97"/>
      <c r="G133" s="97"/>
      <c r="H133" s="98" t="s">
        <v>249</v>
      </c>
      <c r="I133" s="98">
        <v>8.5</v>
      </c>
      <c r="J133" s="77">
        <v>6.5</v>
      </c>
      <c r="K133" s="6">
        <v>6.5</v>
      </c>
      <c r="L133" s="6"/>
      <c r="M133" s="6" t="s">
        <v>1595</v>
      </c>
      <c r="N133" s="179" t="s">
        <v>845</v>
      </c>
    </row>
    <row r="134" spans="1:14" ht="34.950000000000003" customHeight="1" x14ac:dyDescent="0.3">
      <c r="A134" s="9">
        <v>4</v>
      </c>
      <c r="B134" s="123" t="s">
        <v>269</v>
      </c>
      <c r="C134" s="147" t="s">
        <v>1433</v>
      </c>
      <c r="D134" s="6" t="s">
        <v>1434</v>
      </c>
      <c r="E134" s="93"/>
      <c r="F134" s="97"/>
      <c r="G134" s="97"/>
      <c r="H134" s="98" t="s">
        <v>249</v>
      </c>
      <c r="I134" s="98">
        <v>37</v>
      </c>
      <c r="J134" s="77">
        <v>3.5</v>
      </c>
      <c r="K134" s="6">
        <v>3.5</v>
      </c>
      <c r="L134" s="6"/>
      <c r="M134" s="6" t="s">
        <v>1595</v>
      </c>
      <c r="N134" s="179" t="s">
        <v>846</v>
      </c>
    </row>
    <row r="135" spans="1:14" ht="34.950000000000003" customHeight="1" x14ac:dyDescent="0.3">
      <c r="A135" s="9">
        <v>5</v>
      </c>
      <c r="B135" s="123" t="s">
        <v>270</v>
      </c>
      <c r="C135" s="147" t="s">
        <v>1434</v>
      </c>
      <c r="D135" s="6" t="s">
        <v>1435</v>
      </c>
      <c r="E135" s="93"/>
      <c r="F135" s="97"/>
      <c r="G135" s="97"/>
      <c r="H135" s="98"/>
      <c r="I135" s="98">
        <v>36</v>
      </c>
      <c r="J135" s="77">
        <v>6.5</v>
      </c>
      <c r="K135" s="6">
        <v>6.5</v>
      </c>
      <c r="L135" s="6"/>
      <c r="M135" s="6" t="s">
        <v>1596</v>
      </c>
      <c r="N135" s="179" t="s">
        <v>167</v>
      </c>
    </row>
    <row r="136" spans="1:14" ht="34.950000000000003" customHeight="1" x14ac:dyDescent="0.3">
      <c r="A136" s="9">
        <v>6</v>
      </c>
      <c r="B136" s="123" t="s">
        <v>271</v>
      </c>
      <c r="C136" s="147" t="s">
        <v>1435</v>
      </c>
      <c r="D136" s="6" t="s">
        <v>1436</v>
      </c>
      <c r="E136" s="93"/>
      <c r="F136" s="97"/>
      <c r="G136" s="97" t="s">
        <v>1200</v>
      </c>
      <c r="H136" s="98" t="s">
        <v>250</v>
      </c>
      <c r="I136" s="98">
        <v>19</v>
      </c>
      <c r="J136" s="77">
        <v>3.5</v>
      </c>
      <c r="K136" s="6">
        <v>3.5</v>
      </c>
      <c r="L136" s="6"/>
      <c r="M136" s="6" t="s">
        <v>1595</v>
      </c>
      <c r="N136" s="179" t="s">
        <v>847</v>
      </c>
    </row>
    <row r="137" spans="1:14" ht="34.950000000000003" customHeight="1" x14ac:dyDescent="0.3">
      <c r="A137" s="131" t="s">
        <v>252</v>
      </c>
      <c r="B137" s="144" t="s">
        <v>150</v>
      </c>
      <c r="C137" s="148"/>
      <c r="D137" s="130"/>
      <c r="E137" s="139">
        <v>2010</v>
      </c>
      <c r="F137" s="140"/>
      <c r="G137" s="140"/>
      <c r="H137" s="140"/>
      <c r="I137" s="140">
        <v>73</v>
      </c>
      <c r="J137" s="77"/>
      <c r="K137" s="6"/>
      <c r="L137" s="6"/>
      <c r="M137" s="6"/>
      <c r="N137" s="178"/>
    </row>
    <row r="138" spans="1:14" ht="34.950000000000003" customHeight="1" x14ac:dyDescent="0.3">
      <c r="A138" s="8">
        <v>1</v>
      </c>
      <c r="B138" s="123" t="s">
        <v>303</v>
      </c>
      <c r="C138" s="147" t="s">
        <v>1406</v>
      </c>
      <c r="D138" s="6" t="s">
        <v>1437</v>
      </c>
      <c r="E138" s="93"/>
      <c r="F138" s="97" t="s">
        <v>1201</v>
      </c>
      <c r="G138" s="97"/>
      <c r="H138" s="98"/>
      <c r="I138" s="98">
        <v>15</v>
      </c>
      <c r="J138" s="77">
        <v>6.5</v>
      </c>
      <c r="K138" s="6">
        <v>6.5</v>
      </c>
      <c r="L138" s="6"/>
      <c r="M138" s="6" t="s">
        <v>1596</v>
      </c>
      <c r="N138" s="182" t="s">
        <v>167</v>
      </c>
    </row>
    <row r="139" spans="1:14" ht="34.950000000000003" customHeight="1" x14ac:dyDescent="0.3">
      <c r="A139" s="8">
        <v>2</v>
      </c>
      <c r="B139" s="123" t="s">
        <v>304</v>
      </c>
      <c r="C139" s="147" t="s">
        <v>1437</v>
      </c>
      <c r="D139" s="6" t="s">
        <v>1438</v>
      </c>
      <c r="E139" s="93"/>
      <c r="F139" s="97"/>
      <c r="G139" s="97"/>
      <c r="H139" s="98" t="s">
        <v>249</v>
      </c>
      <c r="I139" s="98">
        <v>28.5</v>
      </c>
      <c r="J139" s="77">
        <v>3.5</v>
      </c>
      <c r="K139" s="6">
        <v>3.5</v>
      </c>
      <c r="L139" s="6"/>
      <c r="M139" s="6" t="s">
        <v>1595</v>
      </c>
      <c r="N139" s="179" t="s">
        <v>262</v>
      </c>
    </row>
    <row r="140" spans="1:14" s="167" customFormat="1" ht="34.950000000000003" customHeight="1" x14ac:dyDescent="0.3">
      <c r="A140" s="164">
        <v>3</v>
      </c>
      <c r="B140" s="175" t="s">
        <v>1161</v>
      </c>
      <c r="C140" s="162" t="s">
        <v>1439</v>
      </c>
      <c r="D140" s="163" t="s">
        <v>1440</v>
      </c>
      <c r="E140" s="170"/>
      <c r="F140" s="171"/>
      <c r="G140" s="171"/>
      <c r="H140" s="172"/>
      <c r="I140" s="172"/>
      <c r="J140" s="166"/>
      <c r="K140" s="163"/>
      <c r="L140" s="163" t="str">
        <f>N140</f>
        <v>Đi chung với QL 4D</v>
      </c>
      <c r="M140" s="163" t="s">
        <v>1595</v>
      </c>
      <c r="N140" s="178" t="s">
        <v>1593</v>
      </c>
    </row>
    <row r="141" spans="1:14" ht="34.950000000000003" customHeight="1" x14ac:dyDescent="0.3">
      <c r="A141" s="8">
        <v>4</v>
      </c>
      <c r="B141" s="123" t="s">
        <v>1162</v>
      </c>
      <c r="C141" s="147" t="s">
        <v>1441</v>
      </c>
      <c r="D141" s="6" t="s">
        <v>1442</v>
      </c>
      <c r="E141" s="93"/>
      <c r="F141" s="97"/>
      <c r="G141" s="97"/>
      <c r="H141" s="98" t="s">
        <v>248</v>
      </c>
      <c r="I141" s="98">
        <v>8.6999999999999993</v>
      </c>
      <c r="J141" s="77">
        <v>7.5</v>
      </c>
      <c r="K141" s="6">
        <v>7.5</v>
      </c>
      <c r="L141" s="6"/>
      <c r="M141" s="6" t="s">
        <v>1595</v>
      </c>
      <c r="N141" s="179" t="s">
        <v>305</v>
      </c>
    </row>
    <row r="142" spans="1:14" s="200" customFormat="1" ht="34.950000000000003" customHeight="1" x14ac:dyDescent="0.3">
      <c r="A142" s="191">
        <v>5</v>
      </c>
      <c r="B142" s="192" t="s">
        <v>1163</v>
      </c>
      <c r="C142" s="193" t="s">
        <v>1443</v>
      </c>
      <c r="D142" s="194" t="s">
        <v>1444</v>
      </c>
      <c r="E142" s="195">
        <v>2023</v>
      </c>
      <c r="F142" s="196"/>
      <c r="G142" s="196" t="s">
        <v>1202</v>
      </c>
      <c r="H142" s="197"/>
      <c r="I142" s="197">
        <v>20.8</v>
      </c>
      <c r="J142" s="198">
        <v>6.5</v>
      </c>
      <c r="K142" s="194">
        <v>6.5</v>
      </c>
      <c r="L142" s="194"/>
      <c r="M142" s="194" t="s">
        <v>1595</v>
      </c>
      <c r="N142" s="199" t="s">
        <v>306</v>
      </c>
    </row>
    <row r="143" spans="1:14" ht="34.950000000000003" customHeight="1" x14ac:dyDescent="0.3">
      <c r="A143" s="131" t="s">
        <v>253</v>
      </c>
      <c r="B143" s="132" t="s">
        <v>18</v>
      </c>
      <c r="C143" s="148"/>
      <c r="D143" s="130"/>
      <c r="E143" s="131"/>
      <c r="F143" s="133"/>
      <c r="G143" s="133"/>
      <c r="H143" s="133"/>
      <c r="I143" s="133">
        <v>58</v>
      </c>
      <c r="J143" s="77"/>
      <c r="K143" s="6"/>
      <c r="L143" s="6"/>
      <c r="M143" s="6"/>
      <c r="N143" s="178"/>
    </row>
    <row r="144" spans="1:14" ht="34.950000000000003" customHeight="1" x14ac:dyDescent="0.3">
      <c r="A144" s="8">
        <v>1</v>
      </c>
      <c r="B144" s="122" t="s">
        <v>1164</v>
      </c>
      <c r="C144" s="147" t="s">
        <v>1423</v>
      </c>
      <c r="D144" s="6" t="s">
        <v>1445</v>
      </c>
      <c r="E144" s="93"/>
      <c r="F144" s="97" t="s">
        <v>1203</v>
      </c>
      <c r="G144" s="97"/>
      <c r="H144" s="96"/>
      <c r="I144" s="96">
        <v>27</v>
      </c>
      <c r="J144" s="77"/>
      <c r="K144" s="6"/>
      <c r="L144" s="6"/>
      <c r="M144" s="6" t="s">
        <v>1596</v>
      </c>
      <c r="N144" s="182" t="s">
        <v>283</v>
      </c>
    </row>
    <row r="145" spans="1:14" ht="34.950000000000003" customHeight="1" x14ac:dyDescent="0.3">
      <c r="A145" s="8">
        <v>3</v>
      </c>
      <c r="B145" s="122" t="s">
        <v>284</v>
      </c>
      <c r="C145" s="147" t="s">
        <v>1446</v>
      </c>
      <c r="D145" s="6" t="s">
        <v>1447</v>
      </c>
      <c r="E145" s="93"/>
      <c r="F145" s="97"/>
      <c r="G145" s="97" t="s">
        <v>1204</v>
      </c>
      <c r="H145" s="96" t="s">
        <v>250</v>
      </c>
      <c r="I145" s="96">
        <v>30.5</v>
      </c>
      <c r="J145" s="77">
        <v>3.5</v>
      </c>
      <c r="K145" s="6">
        <v>3.5</v>
      </c>
      <c r="L145" s="6"/>
      <c r="M145" s="6" t="s">
        <v>1595</v>
      </c>
      <c r="N145" s="179" t="s">
        <v>262</v>
      </c>
    </row>
    <row r="146" spans="1:14" ht="34.950000000000003" customHeight="1" x14ac:dyDescent="0.3">
      <c r="A146" s="131" t="s">
        <v>254</v>
      </c>
      <c r="B146" s="132" t="s">
        <v>168</v>
      </c>
      <c r="C146" s="148"/>
      <c r="D146" s="130"/>
      <c r="E146" s="125">
        <v>2025</v>
      </c>
      <c r="F146" s="133"/>
      <c r="G146" s="133"/>
      <c r="H146" s="133"/>
      <c r="I146" s="133">
        <v>18.400000000000002</v>
      </c>
      <c r="J146" s="77"/>
      <c r="K146" s="6"/>
      <c r="L146" s="6"/>
      <c r="M146" s="6"/>
      <c r="N146" s="178"/>
    </row>
    <row r="147" spans="1:14" ht="34.950000000000003" customHeight="1" x14ac:dyDescent="0.3">
      <c r="A147" s="8">
        <v>1</v>
      </c>
      <c r="B147" s="122" t="s">
        <v>848</v>
      </c>
      <c r="C147" s="147" t="s">
        <v>1406</v>
      </c>
      <c r="D147" s="6" t="s">
        <v>1106</v>
      </c>
      <c r="E147" s="93"/>
      <c r="F147" s="97" t="s">
        <v>1205</v>
      </c>
      <c r="G147" s="97"/>
      <c r="H147" s="96" t="s">
        <v>248</v>
      </c>
      <c r="I147" s="98">
        <v>0.4</v>
      </c>
      <c r="J147" s="77">
        <v>9</v>
      </c>
      <c r="K147" s="6">
        <v>9</v>
      </c>
      <c r="L147" s="6"/>
      <c r="M147" s="6" t="s">
        <v>1595</v>
      </c>
      <c r="N147" s="179" t="s">
        <v>849</v>
      </c>
    </row>
    <row r="148" spans="1:14" ht="34.950000000000003" customHeight="1" x14ac:dyDescent="0.3">
      <c r="A148" s="8">
        <v>2</v>
      </c>
      <c r="B148" s="122" t="s">
        <v>850</v>
      </c>
      <c r="C148" s="147" t="s">
        <v>1106</v>
      </c>
      <c r="D148" s="6" t="s">
        <v>1448</v>
      </c>
      <c r="E148" s="93"/>
      <c r="F148" s="97"/>
      <c r="G148" s="97" t="s">
        <v>1206</v>
      </c>
      <c r="H148" s="96" t="s">
        <v>249</v>
      </c>
      <c r="I148" s="98">
        <v>17.399999999999999</v>
      </c>
      <c r="J148" s="77">
        <v>6.5</v>
      </c>
      <c r="K148" s="6">
        <v>6.5</v>
      </c>
      <c r="L148" s="6"/>
      <c r="M148" s="6" t="s">
        <v>1595</v>
      </c>
      <c r="N148" s="179" t="s">
        <v>845</v>
      </c>
    </row>
    <row r="149" spans="1:14" ht="34.950000000000003" customHeight="1" x14ac:dyDescent="0.3">
      <c r="A149" s="145" t="s">
        <v>255</v>
      </c>
      <c r="B149" s="144" t="s">
        <v>170</v>
      </c>
      <c r="C149" s="148"/>
      <c r="D149" s="130"/>
      <c r="E149" s="139">
        <v>2012</v>
      </c>
      <c r="F149" s="140"/>
      <c r="G149" s="140"/>
      <c r="H149" s="140"/>
      <c r="I149" s="140">
        <v>56.439999999999991</v>
      </c>
      <c r="J149" s="77"/>
      <c r="K149" s="6"/>
      <c r="L149" s="6"/>
      <c r="M149" s="6"/>
      <c r="N149" s="178"/>
    </row>
    <row r="150" spans="1:14" ht="34.950000000000003" customHeight="1" x14ac:dyDescent="0.3">
      <c r="A150" s="9">
        <v>1</v>
      </c>
      <c r="B150" s="123" t="s">
        <v>272</v>
      </c>
      <c r="C150" s="147" t="s">
        <v>1406</v>
      </c>
      <c r="D150" s="6" t="s">
        <v>1449</v>
      </c>
      <c r="E150" s="93"/>
      <c r="F150" s="97" t="s">
        <v>1207</v>
      </c>
      <c r="G150" s="97"/>
      <c r="H150" s="98" t="s">
        <v>247</v>
      </c>
      <c r="I150" s="98">
        <v>1.97</v>
      </c>
      <c r="J150" s="77" t="s">
        <v>1267</v>
      </c>
      <c r="K150" s="6" t="s">
        <v>1271</v>
      </c>
      <c r="L150" s="6"/>
      <c r="M150" s="6" t="s">
        <v>1595</v>
      </c>
      <c r="N150" s="179" t="s">
        <v>333</v>
      </c>
    </row>
    <row r="151" spans="1:14" ht="34.950000000000003" customHeight="1" x14ac:dyDescent="0.3">
      <c r="A151" s="9">
        <v>2</v>
      </c>
      <c r="B151" s="123" t="s">
        <v>273</v>
      </c>
      <c r="C151" s="147" t="s">
        <v>1449</v>
      </c>
      <c r="D151" s="6" t="s">
        <v>1450</v>
      </c>
      <c r="E151" s="93"/>
      <c r="F151" s="97"/>
      <c r="G151" s="97"/>
      <c r="H151" s="98" t="s">
        <v>249</v>
      </c>
      <c r="I151" s="98">
        <v>21.45</v>
      </c>
      <c r="J151" s="77">
        <v>3.5</v>
      </c>
      <c r="K151" s="6">
        <v>3.5</v>
      </c>
      <c r="L151" s="6"/>
      <c r="M151" s="6" t="s">
        <v>1595</v>
      </c>
      <c r="N151" s="179" t="s">
        <v>334</v>
      </c>
    </row>
    <row r="152" spans="1:14" ht="34.950000000000003" customHeight="1" x14ac:dyDescent="0.3">
      <c r="A152" s="9">
        <v>3</v>
      </c>
      <c r="B152" s="123" t="s">
        <v>274</v>
      </c>
      <c r="C152" s="147" t="s">
        <v>1450</v>
      </c>
      <c r="D152" s="6" t="s">
        <v>1451</v>
      </c>
      <c r="E152" s="93"/>
      <c r="F152" s="97"/>
      <c r="G152" s="97"/>
      <c r="H152" s="98"/>
      <c r="I152" s="98">
        <v>2.4</v>
      </c>
      <c r="J152" s="77"/>
      <c r="K152" s="6"/>
      <c r="L152" s="6"/>
      <c r="M152" s="6" t="s">
        <v>1595</v>
      </c>
      <c r="N152" s="179" t="s">
        <v>275</v>
      </c>
    </row>
    <row r="153" spans="1:14" ht="34.950000000000003" customHeight="1" x14ac:dyDescent="0.3">
      <c r="A153" s="9">
        <v>4</v>
      </c>
      <c r="B153" s="123" t="s">
        <v>276</v>
      </c>
      <c r="C153" s="147" t="s">
        <v>1451</v>
      </c>
      <c r="D153" s="6" t="s">
        <v>1452</v>
      </c>
      <c r="E153" s="93"/>
      <c r="F153" s="97"/>
      <c r="G153" s="97"/>
      <c r="H153" s="98" t="s">
        <v>1600</v>
      </c>
      <c r="I153" s="98">
        <v>16</v>
      </c>
      <c r="J153" s="77">
        <v>3.5</v>
      </c>
      <c r="K153" s="6">
        <v>3.5</v>
      </c>
      <c r="L153" s="6"/>
      <c r="M153" s="6" t="s">
        <v>1597</v>
      </c>
      <c r="N153" s="179" t="s">
        <v>266</v>
      </c>
    </row>
    <row r="154" spans="1:14" ht="34.950000000000003" customHeight="1" x14ac:dyDescent="0.3">
      <c r="A154" s="9">
        <v>5</v>
      </c>
      <c r="B154" s="123" t="s">
        <v>277</v>
      </c>
      <c r="C154" s="147" t="s">
        <v>1452</v>
      </c>
      <c r="D154" s="6" t="s">
        <v>1453</v>
      </c>
      <c r="E154" s="93"/>
      <c r="F154" s="97"/>
      <c r="G154" s="97" t="s">
        <v>1200</v>
      </c>
      <c r="H154" s="98"/>
      <c r="I154" s="98">
        <v>14.62</v>
      </c>
      <c r="J154" s="77"/>
      <c r="K154" s="6"/>
      <c r="L154" s="6"/>
      <c r="M154" s="6" t="s">
        <v>1595</v>
      </c>
      <c r="N154" s="179" t="s">
        <v>275</v>
      </c>
    </row>
    <row r="155" spans="1:14" ht="34.950000000000003" customHeight="1" x14ac:dyDescent="0.3">
      <c r="A155" s="131" t="s">
        <v>256</v>
      </c>
      <c r="B155" s="144" t="s">
        <v>184</v>
      </c>
      <c r="C155" s="148"/>
      <c r="D155" s="130"/>
      <c r="E155" s="139">
        <v>2010</v>
      </c>
      <c r="F155" s="140"/>
      <c r="G155" s="140"/>
      <c r="H155" s="140"/>
      <c r="I155" s="140">
        <v>71.199999999999989</v>
      </c>
      <c r="J155" s="77"/>
      <c r="K155" s="6"/>
      <c r="L155" s="6"/>
      <c r="M155" s="6"/>
      <c r="N155" s="178"/>
    </row>
    <row r="156" spans="1:14" ht="34.950000000000003" customHeight="1" x14ac:dyDescent="0.3">
      <c r="A156" s="8">
        <v>1</v>
      </c>
      <c r="B156" s="123" t="s">
        <v>307</v>
      </c>
      <c r="C156" s="147" t="s">
        <v>1292</v>
      </c>
      <c r="D156" s="6" t="s">
        <v>1454</v>
      </c>
      <c r="E156" s="93"/>
      <c r="F156" s="97" t="s">
        <v>1208</v>
      </c>
      <c r="G156" s="97"/>
      <c r="H156" s="98" t="s">
        <v>249</v>
      </c>
      <c r="I156" s="98">
        <v>10.199999999999999</v>
      </c>
      <c r="J156" s="77">
        <v>3.5</v>
      </c>
      <c r="K156" s="6">
        <v>3.5</v>
      </c>
      <c r="L156" s="6"/>
      <c r="M156" s="6" t="s">
        <v>1595</v>
      </c>
      <c r="N156" s="179" t="s">
        <v>262</v>
      </c>
    </row>
    <row r="157" spans="1:14" ht="34.950000000000003" customHeight="1" x14ac:dyDescent="0.3">
      <c r="A157" s="8">
        <v>2</v>
      </c>
      <c r="B157" s="123" t="s">
        <v>308</v>
      </c>
      <c r="C157" s="147" t="s">
        <v>1455</v>
      </c>
      <c r="D157" s="6" t="s">
        <v>1456</v>
      </c>
      <c r="E157" s="93"/>
      <c r="F157" s="97"/>
      <c r="G157" s="97"/>
      <c r="H157" s="98" t="s">
        <v>1600</v>
      </c>
      <c r="I157" s="98">
        <v>5.8</v>
      </c>
      <c r="J157" s="77">
        <v>3</v>
      </c>
      <c r="K157" s="6">
        <v>3</v>
      </c>
      <c r="L157" s="6"/>
      <c r="M157" s="6" t="s">
        <v>1597</v>
      </c>
      <c r="N157" s="179" t="s">
        <v>309</v>
      </c>
    </row>
    <row r="158" spans="1:14" ht="34.950000000000003" customHeight="1" x14ac:dyDescent="0.3">
      <c r="A158" s="8">
        <v>3</v>
      </c>
      <c r="B158" s="123" t="s">
        <v>310</v>
      </c>
      <c r="C158" s="147" t="s">
        <v>1457</v>
      </c>
      <c r="D158" s="6" t="s">
        <v>1458</v>
      </c>
      <c r="E158" s="93"/>
      <c r="F158" s="97"/>
      <c r="G158" s="97"/>
      <c r="H158" s="98"/>
      <c r="I158" s="98">
        <v>12</v>
      </c>
      <c r="J158" s="77"/>
      <c r="K158" s="6"/>
      <c r="L158" s="6"/>
      <c r="M158" s="6" t="s">
        <v>1596</v>
      </c>
      <c r="N158" s="182" t="s">
        <v>167</v>
      </c>
    </row>
    <row r="159" spans="1:14" ht="34.950000000000003" customHeight="1" x14ac:dyDescent="0.3">
      <c r="A159" s="8">
        <v>4</v>
      </c>
      <c r="B159" s="123" t="s">
        <v>311</v>
      </c>
      <c r="C159" s="147" t="s">
        <v>1412</v>
      </c>
      <c r="D159" s="6" t="s">
        <v>1459</v>
      </c>
      <c r="E159" s="93"/>
      <c r="F159" s="97"/>
      <c r="G159" s="97"/>
      <c r="H159" s="98" t="s">
        <v>248</v>
      </c>
      <c r="I159" s="98">
        <v>13.5</v>
      </c>
      <c r="J159" s="77">
        <v>6.5</v>
      </c>
      <c r="K159" s="6">
        <v>6.5</v>
      </c>
      <c r="L159" s="6"/>
      <c r="M159" s="6" t="s">
        <v>1595</v>
      </c>
      <c r="N159" s="179" t="s">
        <v>312</v>
      </c>
    </row>
    <row r="160" spans="1:14" ht="34.950000000000003" customHeight="1" x14ac:dyDescent="0.3">
      <c r="A160" s="8">
        <v>5</v>
      </c>
      <c r="B160" s="123" t="s">
        <v>313</v>
      </c>
      <c r="C160" s="147" t="s">
        <v>1460</v>
      </c>
      <c r="D160" s="6" t="s">
        <v>1461</v>
      </c>
      <c r="E160" s="93"/>
      <c r="F160" s="97"/>
      <c r="G160" s="97" t="s">
        <v>1209</v>
      </c>
      <c r="H160" s="98"/>
      <c r="I160" s="98">
        <v>29.700000000000003</v>
      </c>
      <c r="J160" s="77"/>
      <c r="K160" s="6"/>
      <c r="L160" s="6"/>
      <c r="M160" s="6" t="s">
        <v>1596</v>
      </c>
      <c r="N160" s="182" t="s">
        <v>167</v>
      </c>
    </row>
    <row r="161" spans="1:14" ht="34.950000000000003" customHeight="1" x14ac:dyDescent="0.3">
      <c r="A161" s="131" t="s">
        <v>257</v>
      </c>
      <c r="B161" s="132" t="s">
        <v>119</v>
      </c>
      <c r="C161" s="148"/>
      <c r="D161" s="130"/>
      <c r="E161" s="125">
        <v>2013</v>
      </c>
      <c r="F161" s="133"/>
      <c r="G161" s="133"/>
      <c r="H161" s="133"/>
      <c r="I161" s="133">
        <v>79.199999999999989</v>
      </c>
      <c r="J161" s="77"/>
      <c r="K161" s="6"/>
      <c r="L161" s="6"/>
      <c r="M161" s="6"/>
      <c r="N161" s="178"/>
    </row>
    <row r="162" spans="1:14" ht="34.950000000000003" customHeight="1" x14ac:dyDescent="0.3">
      <c r="A162" s="8">
        <v>1</v>
      </c>
      <c r="B162" s="123" t="s">
        <v>320</v>
      </c>
      <c r="C162" s="147" t="s">
        <v>1406</v>
      </c>
      <c r="D162" s="6" t="s">
        <v>1462</v>
      </c>
      <c r="E162" s="93"/>
      <c r="F162" s="97" t="s">
        <v>1210</v>
      </c>
      <c r="G162" s="97"/>
      <c r="H162" s="98"/>
      <c r="I162" s="98">
        <v>12</v>
      </c>
      <c r="J162" s="77"/>
      <c r="K162" s="6"/>
      <c r="L162" s="6"/>
      <c r="M162" s="6" t="s">
        <v>1596</v>
      </c>
      <c r="N162" s="182" t="s">
        <v>315</v>
      </c>
    </row>
    <row r="163" spans="1:14" ht="34.950000000000003" customHeight="1" x14ac:dyDescent="0.3">
      <c r="A163" s="8">
        <v>2</v>
      </c>
      <c r="B163" s="123" t="s">
        <v>321</v>
      </c>
      <c r="C163" s="147" t="s">
        <v>1463</v>
      </c>
      <c r="D163" s="6" t="s">
        <v>1464</v>
      </c>
      <c r="E163" s="93"/>
      <c r="F163" s="97"/>
      <c r="G163" s="97"/>
      <c r="H163" s="98"/>
      <c r="I163" s="98">
        <v>1.24</v>
      </c>
      <c r="J163" s="77"/>
      <c r="K163" s="6"/>
      <c r="L163" s="6" t="str">
        <f>N163</f>
        <v>Đi chung với QL.4</v>
      </c>
      <c r="M163" s="6" t="s">
        <v>1595</v>
      </c>
      <c r="N163" s="190" t="s">
        <v>1590</v>
      </c>
    </row>
    <row r="164" spans="1:14" ht="34.950000000000003" customHeight="1" x14ac:dyDescent="0.3">
      <c r="A164" s="8">
        <v>3</v>
      </c>
      <c r="B164" s="123" t="s">
        <v>322</v>
      </c>
      <c r="C164" s="147" t="s">
        <v>1465</v>
      </c>
      <c r="D164" s="6" t="s">
        <v>1466</v>
      </c>
      <c r="E164" s="93"/>
      <c r="F164" s="97"/>
      <c r="G164" s="97"/>
      <c r="H164" s="98"/>
      <c r="I164" s="98">
        <v>8</v>
      </c>
      <c r="J164" s="77"/>
      <c r="K164" s="6"/>
      <c r="L164" s="6"/>
      <c r="M164" s="6" t="s">
        <v>1596</v>
      </c>
      <c r="N164" s="182" t="s">
        <v>315</v>
      </c>
    </row>
    <row r="165" spans="1:14" ht="34.950000000000003" customHeight="1" x14ac:dyDescent="0.3">
      <c r="A165" s="8">
        <v>4</v>
      </c>
      <c r="B165" s="123" t="s">
        <v>323</v>
      </c>
      <c r="C165" s="147" t="s">
        <v>1467</v>
      </c>
      <c r="D165" s="6" t="s">
        <v>1468</v>
      </c>
      <c r="E165" s="93"/>
      <c r="F165" s="97"/>
      <c r="G165" s="97"/>
      <c r="H165" s="98" t="s">
        <v>1600</v>
      </c>
      <c r="I165" s="98">
        <v>7</v>
      </c>
      <c r="J165" s="77">
        <v>3.5</v>
      </c>
      <c r="K165" s="6">
        <v>3.5</v>
      </c>
      <c r="L165" s="6"/>
      <c r="M165" s="6" t="s">
        <v>1597</v>
      </c>
      <c r="N165" s="182" t="s">
        <v>319</v>
      </c>
    </row>
    <row r="166" spans="1:14" ht="34.950000000000003" customHeight="1" x14ac:dyDescent="0.3">
      <c r="A166" s="8">
        <v>5</v>
      </c>
      <c r="B166" s="123" t="s">
        <v>324</v>
      </c>
      <c r="C166" s="147" t="s">
        <v>1469</v>
      </c>
      <c r="D166" s="6" t="s">
        <v>1470</v>
      </c>
      <c r="E166" s="93"/>
      <c r="F166" s="97"/>
      <c r="G166" s="97"/>
      <c r="H166" s="98"/>
      <c r="I166" s="98">
        <v>12</v>
      </c>
      <c r="J166" s="77"/>
      <c r="K166" s="6"/>
      <c r="L166" s="6"/>
      <c r="M166" s="6" t="s">
        <v>1596</v>
      </c>
      <c r="N166" s="182" t="s">
        <v>315</v>
      </c>
    </row>
    <row r="167" spans="1:14" ht="34.950000000000003" customHeight="1" x14ac:dyDescent="0.3">
      <c r="A167" s="8">
        <v>6</v>
      </c>
      <c r="B167" s="123" t="s">
        <v>325</v>
      </c>
      <c r="C167" s="147" t="s">
        <v>1471</v>
      </c>
      <c r="D167" s="6" t="s">
        <v>1472</v>
      </c>
      <c r="E167" s="93"/>
      <c r="F167" s="97"/>
      <c r="G167" s="97"/>
      <c r="H167" s="98" t="s">
        <v>1600</v>
      </c>
      <c r="I167" s="98">
        <v>5</v>
      </c>
      <c r="J167" s="77">
        <v>3.5</v>
      </c>
      <c r="K167" s="6">
        <v>3.5</v>
      </c>
      <c r="L167" s="6"/>
      <c r="M167" s="6" t="s">
        <v>1597</v>
      </c>
      <c r="N167" s="182" t="s">
        <v>319</v>
      </c>
    </row>
    <row r="168" spans="1:14" ht="34.950000000000003" customHeight="1" x14ac:dyDescent="0.3">
      <c r="A168" s="8">
        <v>7</v>
      </c>
      <c r="B168" s="123" t="s">
        <v>326</v>
      </c>
      <c r="C168" s="147" t="s">
        <v>1473</v>
      </c>
      <c r="D168" s="6" t="s">
        <v>1474</v>
      </c>
      <c r="E168" s="93"/>
      <c r="F168" s="97"/>
      <c r="G168" s="97"/>
      <c r="H168" s="98"/>
      <c r="I168" s="98">
        <v>4</v>
      </c>
      <c r="J168" s="77" t="s">
        <v>1272</v>
      </c>
      <c r="K168" s="6" t="s">
        <v>1273</v>
      </c>
      <c r="L168" s="6"/>
      <c r="M168" s="6" t="s">
        <v>1595</v>
      </c>
      <c r="N168" s="179" t="s">
        <v>331</v>
      </c>
    </row>
    <row r="169" spans="1:14" ht="34.950000000000003" customHeight="1" x14ac:dyDescent="0.3">
      <c r="A169" s="8">
        <v>8</v>
      </c>
      <c r="B169" s="123" t="s">
        <v>327</v>
      </c>
      <c r="C169" s="147" t="s">
        <v>1475</v>
      </c>
      <c r="D169" s="6" t="s">
        <v>1476</v>
      </c>
      <c r="E169" s="93"/>
      <c r="F169" s="97"/>
      <c r="G169" s="97"/>
      <c r="H169" s="98"/>
      <c r="I169" s="98">
        <v>0.16</v>
      </c>
      <c r="J169" s="77"/>
      <c r="K169" s="6"/>
      <c r="L169" s="6" t="str">
        <f>N169</f>
        <v>Đi chung với QL.4E</v>
      </c>
      <c r="M169" s="6" t="s">
        <v>1595</v>
      </c>
      <c r="N169" s="190" t="s">
        <v>1589</v>
      </c>
    </row>
    <row r="170" spans="1:14" ht="34.950000000000003" customHeight="1" x14ac:dyDescent="0.3">
      <c r="A170" s="8">
        <v>9</v>
      </c>
      <c r="B170" s="123" t="s">
        <v>328</v>
      </c>
      <c r="C170" s="147" t="s">
        <v>1477</v>
      </c>
      <c r="D170" s="6" t="s">
        <v>1478</v>
      </c>
      <c r="E170" s="93"/>
      <c r="F170" s="97"/>
      <c r="G170" s="97"/>
      <c r="H170" s="98"/>
      <c r="I170" s="98">
        <v>7.13</v>
      </c>
      <c r="J170" s="77"/>
      <c r="K170" s="6"/>
      <c r="L170" s="6" t="str">
        <f>N170</f>
        <v>Đi chung với QL.4</v>
      </c>
      <c r="M170" s="6" t="s">
        <v>1595</v>
      </c>
      <c r="N170" s="190" t="s">
        <v>1590</v>
      </c>
    </row>
    <row r="171" spans="1:14" ht="34.950000000000003" customHeight="1" x14ac:dyDescent="0.3">
      <c r="A171" s="8">
        <v>10</v>
      </c>
      <c r="B171" s="123" t="s">
        <v>329</v>
      </c>
      <c r="C171" s="147" t="s">
        <v>1479</v>
      </c>
      <c r="D171" s="6" t="s">
        <v>1480</v>
      </c>
      <c r="E171" s="93"/>
      <c r="F171" s="97"/>
      <c r="G171" s="97"/>
      <c r="H171" s="98" t="s">
        <v>1600</v>
      </c>
      <c r="I171" s="98">
        <v>29.5</v>
      </c>
      <c r="J171" s="77">
        <v>3.5</v>
      </c>
      <c r="K171" s="6">
        <v>3.5</v>
      </c>
      <c r="L171" s="6"/>
      <c r="M171" s="6" t="s">
        <v>1597</v>
      </c>
      <c r="N171" s="182" t="s">
        <v>319</v>
      </c>
    </row>
    <row r="172" spans="1:14" ht="34.950000000000003" customHeight="1" x14ac:dyDescent="0.3">
      <c r="A172" s="8">
        <v>11</v>
      </c>
      <c r="B172" s="123" t="s">
        <v>330</v>
      </c>
      <c r="C172" s="147" t="s">
        <v>1481</v>
      </c>
      <c r="D172" s="6" t="s">
        <v>1482</v>
      </c>
      <c r="E172" s="93"/>
      <c r="F172" s="97"/>
      <c r="G172" s="97" t="s">
        <v>1211</v>
      </c>
      <c r="H172" s="98"/>
      <c r="I172" s="98">
        <v>0.6</v>
      </c>
      <c r="J172" s="77">
        <v>8</v>
      </c>
      <c r="K172" s="6">
        <v>8</v>
      </c>
      <c r="L172" s="6"/>
      <c r="M172" s="6" t="s">
        <v>1595</v>
      </c>
      <c r="N172" s="179" t="s">
        <v>332</v>
      </c>
    </row>
    <row r="173" spans="1:14" ht="34.950000000000003" customHeight="1" x14ac:dyDescent="0.3">
      <c r="A173" s="131" t="s">
        <v>258</v>
      </c>
      <c r="B173" s="132" t="s">
        <v>20</v>
      </c>
      <c r="C173" s="148"/>
      <c r="D173" s="130"/>
      <c r="E173" s="125">
        <v>2013</v>
      </c>
      <c r="F173" s="133"/>
      <c r="G173" s="133"/>
      <c r="H173" s="133"/>
      <c r="I173" s="133">
        <v>106.43</v>
      </c>
      <c r="J173" s="77"/>
      <c r="K173" s="6"/>
      <c r="L173" s="6"/>
      <c r="M173" s="6"/>
      <c r="N173" s="178"/>
    </row>
    <row r="174" spans="1:14" ht="34.950000000000003" customHeight="1" x14ac:dyDescent="0.3">
      <c r="A174" s="8">
        <v>1</v>
      </c>
      <c r="B174" s="122" t="s">
        <v>335</v>
      </c>
      <c r="C174" s="147" t="s">
        <v>1419</v>
      </c>
      <c r="D174" s="6" t="s">
        <v>1483</v>
      </c>
      <c r="E174" s="93"/>
      <c r="F174" s="97" t="s">
        <v>1212</v>
      </c>
      <c r="G174" s="97"/>
      <c r="H174" s="96"/>
      <c r="I174" s="98">
        <v>31.43</v>
      </c>
      <c r="J174" s="77"/>
      <c r="K174" s="6"/>
      <c r="L174" s="6"/>
      <c r="M174" s="6" t="s">
        <v>1596</v>
      </c>
      <c r="N174" s="182" t="s">
        <v>167</v>
      </c>
    </row>
    <row r="175" spans="1:14" ht="34.950000000000003" customHeight="1" x14ac:dyDescent="0.3">
      <c r="A175" s="8">
        <v>2</v>
      </c>
      <c r="B175" s="122" t="s">
        <v>336</v>
      </c>
      <c r="C175" s="147" t="s">
        <v>1484</v>
      </c>
      <c r="D175" s="6" t="s">
        <v>1485</v>
      </c>
      <c r="E175" s="93"/>
      <c r="F175" s="97"/>
      <c r="G175" s="97"/>
      <c r="H175" s="96" t="s">
        <v>248</v>
      </c>
      <c r="I175" s="98">
        <v>11.2</v>
      </c>
      <c r="J175" s="77">
        <v>6.5</v>
      </c>
      <c r="K175" s="6">
        <v>6.5</v>
      </c>
      <c r="L175" s="6"/>
      <c r="M175" s="6" t="s">
        <v>1595</v>
      </c>
      <c r="N175" s="179" t="s">
        <v>346</v>
      </c>
    </row>
    <row r="176" spans="1:14" ht="34.950000000000003" customHeight="1" x14ac:dyDescent="0.3">
      <c r="A176" s="8">
        <v>3</v>
      </c>
      <c r="B176" s="124" t="s">
        <v>337</v>
      </c>
      <c r="C176" s="147" t="s">
        <v>1486</v>
      </c>
      <c r="D176" s="6" t="s">
        <v>1487</v>
      </c>
      <c r="E176" s="93"/>
      <c r="F176" s="97"/>
      <c r="G176" s="97"/>
      <c r="H176" s="98" t="s">
        <v>1600</v>
      </c>
      <c r="I176" s="98">
        <v>11.8</v>
      </c>
      <c r="J176" s="77">
        <v>3.5</v>
      </c>
      <c r="K176" s="6">
        <v>3.5</v>
      </c>
      <c r="L176" s="6"/>
      <c r="M176" s="6" t="s">
        <v>1597</v>
      </c>
      <c r="N176" s="179" t="s">
        <v>319</v>
      </c>
    </row>
    <row r="177" spans="1:14" ht="34.950000000000003" customHeight="1" x14ac:dyDescent="0.3">
      <c r="A177" s="8">
        <v>4</v>
      </c>
      <c r="B177" s="122" t="s">
        <v>338</v>
      </c>
      <c r="C177" s="147" t="s">
        <v>1488</v>
      </c>
      <c r="D177" s="6" t="s">
        <v>1324</v>
      </c>
      <c r="E177" s="93"/>
      <c r="F177" s="97"/>
      <c r="G177" s="97"/>
      <c r="H177" s="96" t="s">
        <v>249</v>
      </c>
      <c r="I177" s="98">
        <v>6</v>
      </c>
      <c r="J177" s="77">
        <v>5.5</v>
      </c>
      <c r="K177" s="6">
        <v>5.5</v>
      </c>
      <c r="L177" s="6"/>
      <c r="M177" s="6" t="s">
        <v>1595</v>
      </c>
      <c r="N177" s="179" t="s">
        <v>347</v>
      </c>
    </row>
    <row r="178" spans="1:14" s="159" customFormat="1" ht="34.950000000000003" customHeight="1" x14ac:dyDescent="0.3">
      <c r="A178" s="13">
        <v>5</v>
      </c>
      <c r="B178" s="155" t="s">
        <v>339</v>
      </c>
      <c r="C178" s="156" t="s">
        <v>1325</v>
      </c>
      <c r="D178" s="12" t="s">
        <v>1489</v>
      </c>
      <c r="E178" s="157"/>
      <c r="F178" s="158"/>
      <c r="G178" s="158"/>
      <c r="H178" s="10"/>
      <c r="I178" s="11">
        <v>5</v>
      </c>
      <c r="J178" s="83"/>
      <c r="K178" s="12"/>
      <c r="L178" s="12"/>
      <c r="M178" s="12" t="s">
        <v>1596</v>
      </c>
      <c r="N178" s="185" t="s">
        <v>167</v>
      </c>
    </row>
    <row r="179" spans="1:14" s="167" customFormat="1" ht="34.950000000000003" customHeight="1" x14ac:dyDescent="0.3">
      <c r="A179" s="164">
        <v>6</v>
      </c>
      <c r="B179" s="173" t="s">
        <v>340</v>
      </c>
      <c r="C179" s="162" t="s">
        <v>1490</v>
      </c>
      <c r="D179" s="163" t="s">
        <v>1491</v>
      </c>
      <c r="E179" s="170"/>
      <c r="F179" s="171"/>
      <c r="G179" s="171"/>
      <c r="H179" s="165"/>
      <c r="I179" s="172"/>
      <c r="J179" s="166"/>
      <c r="K179" s="163"/>
      <c r="L179" s="163" t="str">
        <f>N179</f>
        <v>Đi chung với QL.279</v>
      </c>
      <c r="M179" s="163" t="s">
        <v>1595</v>
      </c>
      <c r="N179" s="190" t="s">
        <v>1591</v>
      </c>
    </row>
    <row r="180" spans="1:14" ht="34.950000000000003" customHeight="1" x14ac:dyDescent="0.3">
      <c r="A180" s="8">
        <v>7</v>
      </c>
      <c r="B180" s="122" t="s">
        <v>341</v>
      </c>
      <c r="C180" s="147" t="s">
        <v>1492</v>
      </c>
      <c r="D180" s="6" t="s">
        <v>1493</v>
      </c>
      <c r="E180" s="93"/>
      <c r="F180" s="97"/>
      <c r="G180" s="97"/>
      <c r="H180" s="96"/>
      <c r="I180" s="98">
        <v>11</v>
      </c>
      <c r="J180" s="77"/>
      <c r="K180" s="6"/>
      <c r="L180" s="6"/>
      <c r="M180" s="6" t="s">
        <v>1596</v>
      </c>
      <c r="N180" s="182" t="s">
        <v>167</v>
      </c>
    </row>
    <row r="181" spans="1:14" ht="34.950000000000003" customHeight="1" x14ac:dyDescent="0.3">
      <c r="A181" s="8">
        <v>8</v>
      </c>
      <c r="B181" s="122" t="s">
        <v>342</v>
      </c>
      <c r="C181" s="147" t="s">
        <v>1494</v>
      </c>
      <c r="D181" s="6" t="s">
        <v>1495</v>
      </c>
      <c r="E181" s="93"/>
      <c r="F181" s="97"/>
      <c r="G181" s="97"/>
      <c r="H181" s="96" t="s">
        <v>249</v>
      </c>
      <c r="I181" s="98">
        <v>7</v>
      </c>
      <c r="J181" s="77">
        <v>3.5</v>
      </c>
      <c r="K181" s="6">
        <v>3.5</v>
      </c>
      <c r="L181" s="6"/>
      <c r="M181" s="6" t="s">
        <v>1595</v>
      </c>
      <c r="N181" s="179" t="s">
        <v>345</v>
      </c>
    </row>
    <row r="182" spans="1:14" ht="34.950000000000003" customHeight="1" x14ac:dyDescent="0.3">
      <c r="A182" s="8">
        <v>9</v>
      </c>
      <c r="B182" s="112" t="s">
        <v>343</v>
      </c>
      <c r="C182" s="147" t="s">
        <v>1495</v>
      </c>
      <c r="D182" s="6" t="s">
        <v>1496</v>
      </c>
      <c r="E182" s="93"/>
      <c r="F182" s="97"/>
      <c r="G182" s="97"/>
      <c r="H182" s="108"/>
      <c r="I182" s="98">
        <v>4</v>
      </c>
      <c r="J182" s="77"/>
      <c r="K182" s="6"/>
      <c r="L182" s="6"/>
      <c r="M182" s="6" t="s">
        <v>1596</v>
      </c>
      <c r="N182" s="182" t="s">
        <v>167</v>
      </c>
    </row>
    <row r="183" spans="1:14" ht="34.950000000000003" customHeight="1" x14ac:dyDescent="0.3">
      <c r="A183" s="8">
        <v>10</v>
      </c>
      <c r="B183" s="112" t="s">
        <v>344</v>
      </c>
      <c r="C183" s="147" t="s">
        <v>1496</v>
      </c>
      <c r="D183" s="6" t="s">
        <v>38</v>
      </c>
      <c r="E183" s="93"/>
      <c r="F183" s="97"/>
      <c r="G183" s="97" t="s">
        <v>1213</v>
      </c>
      <c r="H183" s="98" t="s">
        <v>1600</v>
      </c>
      <c r="I183" s="98">
        <v>19</v>
      </c>
      <c r="J183" s="77">
        <v>3.5</v>
      </c>
      <c r="K183" s="6">
        <v>3.5</v>
      </c>
      <c r="L183" s="6"/>
      <c r="M183" s="6" t="s">
        <v>1597</v>
      </c>
      <c r="N183" s="179" t="s">
        <v>319</v>
      </c>
    </row>
    <row r="184" spans="1:14" ht="34.950000000000003" customHeight="1" x14ac:dyDescent="0.3">
      <c r="A184" s="131" t="s">
        <v>781</v>
      </c>
      <c r="B184" s="132" t="s">
        <v>193</v>
      </c>
      <c r="C184" s="148"/>
      <c r="D184" s="130"/>
      <c r="E184" s="125">
        <v>2023</v>
      </c>
      <c r="F184" s="133"/>
      <c r="G184" s="133"/>
      <c r="H184" s="133"/>
      <c r="I184" s="133">
        <v>63.42</v>
      </c>
      <c r="J184" s="77"/>
      <c r="K184" s="6"/>
      <c r="L184" s="6"/>
      <c r="M184" s="6"/>
      <c r="N184" s="178"/>
    </row>
    <row r="185" spans="1:14" ht="34.950000000000003" customHeight="1" x14ac:dyDescent="0.3">
      <c r="A185" s="8">
        <v>1</v>
      </c>
      <c r="B185" s="112" t="s">
        <v>1066</v>
      </c>
      <c r="C185" s="147" t="s">
        <v>1419</v>
      </c>
      <c r="D185" s="6" t="s">
        <v>1497</v>
      </c>
      <c r="E185" s="93"/>
      <c r="F185" s="97" t="s">
        <v>1212</v>
      </c>
      <c r="G185" s="97"/>
      <c r="H185" s="108" t="s">
        <v>1067</v>
      </c>
      <c r="I185" s="98">
        <v>3.4623699999999999</v>
      </c>
      <c r="J185" s="77"/>
      <c r="K185" s="6"/>
      <c r="L185" s="6"/>
      <c r="M185" s="6" t="s">
        <v>1596</v>
      </c>
      <c r="N185" s="182" t="s">
        <v>167</v>
      </c>
    </row>
    <row r="186" spans="1:14" ht="34.950000000000003" customHeight="1" x14ac:dyDescent="0.3">
      <c r="A186" s="8">
        <v>2</v>
      </c>
      <c r="B186" s="112" t="s">
        <v>1068</v>
      </c>
      <c r="C186" s="147" t="s">
        <v>1498</v>
      </c>
      <c r="D186" s="6" t="s">
        <v>1499</v>
      </c>
      <c r="E186" s="93"/>
      <c r="F186" s="97"/>
      <c r="G186" s="97"/>
      <c r="H186" s="108" t="s">
        <v>1067</v>
      </c>
      <c r="I186" s="98">
        <v>24</v>
      </c>
      <c r="J186" s="77">
        <v>5.5</v>
      </c>
      <c r="K186" s="6">
        <v>5.5</v>
      </c>
      <c r="L186" s="6"/>
      <c r="M186" s="6" t="s">
        <v>1595</v>
      </c>
      <c r="N186" s="179" t="s">
        <v>279</v>
      </c>
    </row>
    <row r="187" spans="1:14" ht="34.950000000000003" customHeight="1" x14ac:dyDescent="0.3">
      <c r="A187" s="8">
        <v>3</v>
      </c>
      <c r="B187" s="112" t="s">
        <v>1069</v>
      </c>
      <c r="C187" s="147" t="s">
        <v>1500</v>
      </c>
      <c r="D187" s="6" t="s">
        <v>1501</v>
      </c>
      <c r="E187" s="93"/>
      <c r="F187" s="97"/>
      <c r="G187" s="97"/>
      <c r="H187" s="108" t="s">
        <v>1600</v>
      </c>
      <c r="I187" s="98">
        <v>2.1890000000000001</v>
      </c>
      <c r="J187" s="77">
        <v>9</v>
      </c>
      <c r="K187" s="6">
        <v>9</v>
      </c>
      <c r="L187" s="6"/>
      <c r="M187" s="6" t="s">
        <v>1595</v>
      </c>
      <c r="N187" s="179" t="s">
        <v>1070</v>
      </c>
    </row>
    <row r="188" spans="1:14" ht="34.950000000000003" customHeight="1" x14ac:dyDescent="0.3">
      <c r="A188" s="8">
        <v>4</v>
      </c>
      <c r="B188" s="112" t="s">
        <v>1071</v>
      </c>
      <c r="C188" s="147" t="s">
        <v>1502</v>
      </c>
      <c r="D188" s="6" t="s">
        <v>1503</v>
      </c>
      <c r="E188" s="93"/>
      <c r="F188" s="97"/>
      <c r="G188" s="97"/>
      <c r="H188" s="108" t="s">
        <v>1067</v>
      </c>
      <c r="I188" s="98">
        <v>23.811</v>
      </c>
      <c r="J188" s="77">
        <v>5.5</v>
      </c>
      <c r="K188" s="6">
        <v>5.5</v>
      </c>
      <c r="L188" s="6"/>
      <c r="M188" s="6" t="s">
        <v>1595</v>
      </c>
      <c r="N188" s="179" t="s">
        <v>279</v>
      </c>
    </row>
    <row r="189" spans="1:14" ht="34.950000000000003" customHeight="1" x14ac:dyDescent="0.3">
      <c r="A189" s="8">
        <v>5</v>
      </c>
      <c r="B189" s="112" t="s">
        <v>1072</v>
      </c>
      <c r="C189" s="147" t="s">
        <v>1504</v>
      </c>
      <c r="D189" s="6" t="s">
        <v>1505</v>
      </c>
      <c r="E189" s="93"/>
      <c r="F189" s="97"/>
      <c r="G189" s="97" t="s">
        <v>1225</v>
      </c>
      <c r="H189" s="108" t="s">
        <v>1067</v>
      </c>
      <c r="I189" s="98">
        <v>9.9576300000000018</v>
      </c>
      <c r="J189" s="77">
        <v>5.5</v>
      </c>
      <c r="K189" s="6">
        <v>5.5</v>
      </c>
      <c r="L189" s="6"/>
      <c r="M189" s="6" t="s">
        <v>1595</v>
      </c>
      <c r="N189" s="179" t="s">
        <v>279</v>
      </c>
    </row>
    <row r="190" spans="1:14" ht="34.950000000000003" customHeight="1" x14ac:dyDescent="0.3">
      <c r="A190" s="131" t="s">
        <v>259</v>
      </c>
      <c r="B190" s="132" t="s">
        <v>17</v>
      </c>
      <c r="C190" s="148"/>
      <c r="D190" s="130"/>
      <c r="E190" s="125">
        <v>2020</v>
      </c>
      <c r="F190" s="133"/>
      <c r="G190" s="133"/>
      <c r="H190" s="133"/>
      <c r="I190" s="133">
        <v>37.875999999999998</v>
      </c>
      <c r="J190" s="77"/>
      <c r="K190" s="6"/>
      <c r="L190" s="6"/>
      <c r="M190" s="6"/>
      <c r="N190" s="178"/>
    </row>
    <row r="191" spans="1:14" ht="34.950000000000003" customHeight="1" x14ac:dyDescent="0.3">
      <c r="A191" s="8">
        <v>1</v>
      </c>
      <c r="B191" s="122" t="s">
        <v>280</v>
      </c>
      <c r="C191" s="147" t="s">
        <v>1406</v>
      </c>
      <c r="D191" s="6" t="s">
        <v>1506</v>
      </c>
      <c r="E191" s="93"/>
      <c r="F191" s="97" t="s">
        <v>1214</v>
      </c>
      <c r="G191" s="97"/>
      <c r="H191" s="96" t="s">
        <v>247</v>
      </c>
      <c r="I191" s="96">
        <v>31.081</v>
      </c>
      <c r="J191" s="77">
        <v>8</v>
      </c>
      <c r="K191" s="6">
        <v>8</v>
      </c>
      <c r="L191" s="6"/>
      <c r="M191" s="6" t="s">
        <v>1595</v>
      </c>
      <c r="N191" s="179" t="s">
        <v>278</v>
      </c>
    </row>
    <row r="192" spans="1:14" s="167" customFormat="1" ht="34.950000000000003" customHeight="1" x14ac:dyDescent="0.3">
      <c r="A192" s="164">
        <v>2</v>
      </c>
      <c r="B192" s="173" t="s">
        <v>282</v>
      </c>
      <c r="C192" s="162" t="s">
        <v>1506</v>
      </c>
      <c r="D192" s="163" t="s">
        <v>1507</v>
      </c>
      <c r="E192" s="170"/>
      <c r="F192" s="171"/>
      <c r="G192" s="171"/>
      <c r="H192" s="165"/>
      <c r="I192" s="165"/>
      <c r="J192" s="166"/>
      <c r="K192" s="163"/>
      <c r="L192" s="163" t="str">
        <f>N192</f>
        <v>Đi chung với ĐT.151</v>
      </c>
      <c r="M192" s="6" t="s">
        <v>1595</v>
      </c>
      <c r="N192" s="178" t="s">
        <v>1586</v>
      </c>
    </row>
    <row r="193" spans="1:14" ht="34.950000000000003" customHeight="1" x14ac:dyDescent="0.3">
      <c r="A193" s="8">
        <v>3</v>
      </c>
      <c r="B193" s="122" t="s">
        <v>281</v>
      </c>
      <c r="C193" s="147" t="s">
        <v>1507</v>
      </c>
      <c r="D193" s="6" t="s">
        <v>1508</v>
      </c>
      <c r="E193" s="93"/>
      <c r="F193" s="97"/>
      <c r="G193" s="97" t="s">
        <v>1215</v>
      </c>
      <c r="H193" s="96" t="s">
        <v>248</v>
      </c>
      <c r="I193" s="96">
        <v>6.7949999999999999</v>
      </c>
      <c r="J193" s="77">
        <v>5.5</v>
      </c>
      <c r="K193" s="6">
        <v>5.5</v>
      </c>
      <c r="L193" s="6"/>
      <c r="M193" s="6" t="s">
        <v>1595</v>
      </c>
      <c r="N193" s="179" t="s">
        <v>279</v>
      </c>
    </row>
    <row r="194" spans="1:14" s="95" customFormat="1" ht="34.950000000000003" customHeight="1" x14ac:dyDescent="0.3">
      <c r="A194" s="134" t="s">
        <v>1073</v>
      </c>
      <c r="B194" s="138" t="s">
        <v>364</v>
      </c>
      <c r="C194" s="148"/>
      <c r="D194" s="130"/>
      <c r="E194" s="127">
        <v>2015</v>
      </c>
      <c r="F194" s="143"/>
      <c r="G194" s="143"/>
      <c r="H194" s="143"/>
      <c r="I194" s="133">
        <v>85</v>
      </c>
      <c r="J194" s="77"/>
      <c r="K194" s="6"/>
      <c r="L194" s="6"/>
      <c r="M194" s="6"/>
      <c r="N194" s="184"/>
    </row>
    <row r="195" spans="1:14" ht="34.950000000000003" customHeight="1" x14ac:dyDescent="0.3">
      <c r="A195" s="20">
        <v>1</v>
      </c>
      <c r="B195" s="114" t="s">
        <v>709</v>
      </c>
      <c r="C195" s="147" t="s">
        <v>1406</v>
      </c>
      <c r="D195" s="6" t="s">
        <v>1509</v>
      </c>
      <c r="E195" s="94"/>
      <c r="F195" s="109" t="s">
        <v>1216</v>
      </c>
      <c r="G195" s="109"/>
      <c r="H195" s="111" t="s">
        <v>247</v>
      </c>
      <c r="I195" s="23">
        <v>5.9</v>
      </c>
      <c r="J195" s="77">
        <v>8</v>
      </c>
      <c r="K195" s="6">
        <v>8</v>
      </c>
      <c r="L195" s="6"/>
      <c r="M195" s="6" t="s">
        <v>1595</v>
      </c>
      <c r="N195" s="183" t="s">
        <v>278</v>
      </c>
    </row>
    <row r="196" spans="1:14" ht="34.950000000000003" customHeight="1" x14ac:dyDescent="0.3">
      <c r="A196" s="20">
        <v>2</v>
      </c>
      <c r="B196" s="114" t="s">
        <v>710</v>
      </c>
      <c r="C196" s="147" t="s">
        <v>1509</v>
      </c>
      <c r="D196" s="6" t="s">
        <v>1510</v>
      </c>
      <c r="E196" s="94"/>
      <c r="F196" s="109"/>
      <c r="G196" s="109"/>
      <c r="H196" s="111" t="s">
        <v>248</v>
      </c>
      <c r="I196" s="23">
        <v>50.9</v>
      </c>
      <c r="J196" s="77">
        <v>5.5</v>
      </c>
      <c r="K196" s="6">
        <v>5.5</v>
      </c>
      <c r="L196" s="6"/>
      <c r="M196" s="6" t="s">
        <v>1595</v>
      </c>
      <c r="N196" s="183" t="s">
        <v>711</v>
      </c>
    </row>
    <row r="197" spans="1:14" ht="34.950000000000003" customHeight="1" x14ac:dyDescent="0.3">
      <c r="A197" s="20">
        <v>3</v>
      </c>
      <c r="B197" s="114" t="s">
        <v>712</v>
      </c>
      <c r="C197" s="147" t="s">
        <v>1510</v>
      </c>
      <c r="D197" s="6" t="s">
        <v>1511</v>
      </c>
      <c r="E197" s="94"/>
      <c r="F197" s="109"/>
      <c r="G197" s="109" t="s">
        <v>1226</v>
      </c>
      <c r="H197" s="111" t="s">
        <v>249</v>
      </c>
      <c r="I197" s="23">
        <v>28.200000000000003</v>
      </c>
      <c r="J197" s="77">
        <v>3.5</v>
      </c>
      <c r="K197" s="6">
        <v>3.5</v>
      </c>
      <c r="L197" s="6"/>
      <c r="M197" s="6" t="s">
        <v>1595</v>
      </c>
      <c r="N197" s="183" t="s">
        <v>713</v>
      </c>
    </row>
    <row r="198" spans="1:14" ht="34.950000000000003" customHeight="1" x14ac:dyDescent="0.3">
      <c r="A198" s="131" t="s">
        <v>796</v>
      </c>
      <c r="B198" s="132" t="s">
        <v>406</v>
      </c>
      <c r="C198" s="148"/>
      <c r="D198" s="130"/>
      <c r="E198" s="125">
        <v>2015</v>
      </c>
      <c r="F198" s="133"/>
      <c r="G198" s="133"/>
      <c r="H198" s="133"/>
      <c r="I198" s="133">
        <v>20.5</v>
      </c>
      <c r="J198" s="77"/>
      <c r="K198" s="6"/>
      <c r="L198" s="6"/>
      <c r="M198" s="6"/>
      <c r="N198" s="178"/>
    </row>
    <row r="199" spans="1:14" ht="34.950000000000003" customHeight="1" x14ac:dyDescent="0.3">
      <c r="A199" s="22">
        <v>1</v>
      </c>
      <c r="B199" s="112" t="s">
        <v>714</v>
      </c>
      <c r="C199" s="147" t="s">
        <v>1406</v>
      </c>
      <c r="D199" s="6" t="s">
        <v>1512</v>
      </c>
      <c r="E199" s="94"/>
      <c r="F199" s="109" t="s">
        <v>1217</v>
      </c>
      <c r="G199" s="109" t="s">
        <v>1218</v>
      </c>
      <c r="H199" s="111" t="s">
        <v>249</v>
      </c>
      <c r="I199" s="108">
        <v>20.5</v>
      </c>
      <c r="J199" s="77">
        <v>5.5</v>
      </c>
      <c r="K199" s="6">
        <v>5.5</v>
      </c>
      <c r="L199" s="6"/>
      <c r="M199" s="6" t="s">
        <v>1595</v>
      </c>
      <c r="N199" s="183" t="s">
        <v>715</v>
      </c>
    </row>
    <row r="200" spans="1:14" ht="34.950000000000003" customHeight="1" x14ac:dyDescent="0.3">
      <c r="A200" s="131" t="s">
        <v>805</v>
      </c>
      <c r="B200" s="132" t="s">
        <v>409</v>
      </c>
      <c r="C200" s="148"/>
      <c r="D200" s="130"/>
      <c r="E200" s="125">
        <v>2021</v>
      </c>
      <c r="F200" s="133"/>
      <c r="G200" s="133"/>
      <c r="H200" s="133"/>
      <c r="I200" s="133">
        <v>18</v>
      </c>
      <c r="J200" s="77"/>
      <c r="K200" s="6"/>
      <c r="L200" s="6"/>
      <c r="M200" s="6"/>
      <c r="N200" s="178"/>
    </row>
    <row r="201" spans="1:14" ht="34.950000000000003" customHeight="1" x14ac:dyDescent="0.3">
      <c r="A201" s="22">
        <v>1</v>
      </c>
      <c r="B201" s="112" t="s">
        <v>716</v>
      </c>
      <c r="C201" s="147" t="s">
        <v>1423</v>
      </c>
      <c r="D201" s="6" t="s">
        <v>1513</v>
      </c>
      <c r="E201" s="94"/>
      <c r="F201" s="109" t="s">
        <v>1219</v>
      </c>
      <c r="G201" s="109"/>
      <c r="H201" s="111" t="s">
        <v>248</v>
      </c>
      <c r="I201" s="108">
        <v>2.2000000000000002</v>
      </c>
      <c r="J201" s="77">
        <v>7.5</v>
      </c>
      <c r="K201" s="6">
        <v>7.5</v>
      </c>
      <c r="L201" s="6"/>
      <c r="M201" s="6" t="s">
        <v>1595</v>
      </c>
      <c r="N201" s="183" t="s">
        <v>717</v>
      </c>
    </row>
    <row r="202" spans="1:14" ht="34.950000000000003" customHeight="1" x14ac:dyDescent="0.3">
      <c r="A202" s="22">
        <v>2</v>
      </c>
      <c r="B202" s="112" t="s">
        <v>1165</v>
      </c>
      <c r="C202" s="147" t="s">
        <v>1514</v>
      </c>
      <c r="D202" s="6" t="s">
        <v>1515</v>
      </c>
      <c r="E202" s="94"/>
      <c r="F202" s="109"/>
      <c r="G202" s="109" t="s">
        <v>1227</v>
      </c>
      <c r="H202" s="111" t="s">
        <v>249</v>
      </c>
      <c r="I202" s="108">
        <v>15.8</v>
      </c>
      <c r="J202" s="77">
        <v>5.5</v>
      </c>
      <c r="K202" s="6">
        <v>5.5</v>
      </c>
      <c r="L202" s="6"/>
      <c r="M202" s="6" t="s">
        <v>1595</v>
      </c>
      <c r="N202" s="183" t="s">
        <v>1166</v>
      </c>
    </row>
    <row r="203" spans="1:14" s="18" customFormat="1" ht="34.950000000000003" customHeight="1" x14ac:dyDescent="0.3">
      <c r="A203" s="131" t="s">
        <v>797</v>
      </c>
      <c r="B203" s="132" t="s">
        <v>412</v>
      </c>
      <c r="C203" s="148"/>
      <c r="D203" s="130"/>
      <c r="E203" s="125">
        <v>2018</v>
      </c>
      <c r="F203" s="133"/>
      <c r="G203" s="133"/>
      <c r="H203" s="133"/>
      <c r="I203" s="133">
        <v>52</v>
      </c>
      <c r="J203" s="77"/>
      <c r="K203" s="6"/>
      <c r="L203" s="6"/>
      <c r="M203" s="6"/>
      <c r="N203" s="178"/>
    </row>
    <row r="204" spans="1:14" s="18" customFormat="1" ht="34.950000000000003" customHeight="1" x14ac:dyDescent="0.3">
      <c r="A204" s="22">
        <v>1</v>
      </c>
      <c r="B204" s="112" t="s">
        <v>719</v>
      </c>
      <c r="C204" s="147" t="s">
        <v>1423</v>
      </c>
      <c r="D204" s="6" t="s">
        <v>1516</v>
      </c>
      <c r="E204" s="94"/>
      <c r="F204" s="109" t="s">
        <v>1186</v>
      </c>
      <c r="G204" s="109"/>
      <c r="H204" s="111" t="s">
        <v>249</v>
      </c>
      <c r="I204" s="108">
        <v>5</v>
      </c>
      <c r="J204" s="77" t="s">
        <v>1269</v>
      </c>
      <c r="K204" s="6" t="s">
        <v>1270</v>
      </c>
      <c r="L204" s="6"/>
      <c r="M204" s="6" t="s">
        <v>1595</v>
      </c>
      <c r="N204" s="183" t="s">
        <v>295</v>
      </c>
    </row>
    <row r="205" spans="1:14" s="18" customFormat="1" ht="34.950000000000003" customHeight="1" x14ac:dyDescent="0.3">
      <c r="A205" s="22">
        <v>2</v>
      </c>
      <c r="B205" s="112" t="s">
        <v>720</v>
      </c>
      <c r="C205" s="147" t="s">
        <v>1517</v>
      </c>
      <c r="D205" s="6" t="s">
        <v>1518</v>
      </c>
      <c r="E205" s="110"/>
      <c r="G205" s="109"/>
      <c r="H205" s="111" t="s">
        <v>249</v>
      </c>
      <c r="I205" s="108">
        <v>4.1999999999999993</v>
      </c>
      <c r="J205" s="77"/>
      <c r="K205" s="6"/>
      <c r="L205" s="6"/>
      <c r="M205" s="6" t="s">
        <v>1596</v>
      </c>
      <c r="N205" s="183" t="s">
        <v>167</v>
      </c>
    </row>
    <row r="206" spans="1:14" s="18" customFormat="1" ht="34.950000000000003" customHeight="1" x14ac:dyDescent="0.3">
      <c r="A206" s="22">
        <v>3</v>
      </c>
      <c r="B206" s="112" t="s">
        <v>721</v>
      </c>
      <c r="C206" s="147" t="s">
        <v>1519</v>
      </c>
      <c r="D206" s="6" t="s">
        <v>1520</v>
      </c>
      <c r="E206" s="94"/>
      <c r="F206" s="109"/>
      <c r="G206" s="109"/>
      <c r="H206" s="111" t="s">
        <v>248</v>
      </c>
      <c r="I206" s="108">
        <v>33.317999999999998</v>
      </c>
      <c r="J206" s="77">
        <v>7.5</v>
      </c>
      <c r="K206" s="6">
        <v>7.5</v>
      </c>
      <c r="L206" s="6"/>
      <c r="M206" s="6" t="s">
        <v>1595</v>
      </c>
      <c r="N206" s="183" t="s">
        <v>722</v>
      </c>
    </row>
    <row r="207" spans="1:14" s="18" customFormat="1" ht="34.950000000000003" customHeight="1" x14ac:dyDescent="0.3">
      <c r="A207" s="22">
        <v>4</v>
      </c>
      <c r="B207" s="112" t="s">
        <v>723</v>
      </c>
      <c r="C207" s="147" t="s">
        <v>1521</v>
      </c>
      <c r="D207" s="6" t="s">
        <v>1522</v>
      </c>
      <c r="E207" s="94"/>
      <c r="F207" s="109"/>
      <c r="G207" s="109" t="s">
        <v>1217</v>
      </c>
      <c r="H207" s="111" t="s">
        <v>249</v>
      </c>
      <c r="I207" s="108">
        <v>9.4819999999999993</v>
      </c>
      <c r="J207" s="77"/>
      <c r="K207" s="6"/>
      <c r="L207" s="6"/>
      <c r="M207" s="6" t="s">
        <v>1596</v>
      </c>
      <c r="N207" s="183" t="s">
        <v>167</v>
      </c>
    </row>
    <row r="208" spans="1:14" s="19" customFormat="1" ht="34.950000000000003" customHeight="1" x14ac:dyDescent="0.3">
      <c r="A208" s="131" t="s">
        <v>798</v>
      </c>
      <c r="B208" s="144" t="s">
        <v>437</v>
      </c>
      <c r="C208" s="148"/>
      <c r="D208" s="130"/>
      <c r="E208" s="139">
        <v>2015</v>
      </c>
      <c r="F208" s="140"/>
      <c r="G208" s="140"/>
      <c r="H208" s="140"/>
      <c r="I208" s="140">
        <v>79.400000000000006</v>
      </c>
      <c r="J208" s="77"/>
      <c r="K208" s="6"/>
      <c r="L208" s="6"/>
      <c r="M208" s="6"/>
      <c r="N208" s="178"/>
    </row>
    <row r="209" spans="1:17" s="19" customFormat="1" ht="34.950000000000003" customHeight="1" x14ac:dyDescent="0.3">
      <c r="A209" s="22">
        <v>1</v>
      </c>
      <c r="B209" s="120" t="s">
        <v>724</v>
      </c>
      <c r="C209" s="147" t="s">
        <v>1419</v>
      </c>
      <c r="D209" s="6" t="s">
        <v>1523</v>
      </c>
      <c r="E209" s="94"/>
      <c r="F209" s="109" t="s">
        <v>1221</v>
      </c>
      <c r="G209" s="109"/>
      <c r="H209" s="104" t="s">
        <v>247</v>
      </c>
      <c r="I209" s="23">
        <v>1.3</v>
      </c>
      <c r="J209" s="77">
        <v>7.5</v>
      </c>
      <c r="K209" s="6">
        <v>7.5</v>
      </c>
      <c r="L209" s="6"/>
      <c r="M209" s="6" t="s">
        <v>1595</v>
      </c>
      <c r="N209" s="183" t="s">
        <v>725</v>
      </c>
    </row>
    <row r="210" spans="1:17" s="19" customFormat="1" ht="34.950000000000003" customHeight="1" x14ac:dyDescent="0.3">
      <c r="A210" s="22">
        <v>2</v>
      </c>
      <c r="B210" s="120" t="s">
        <v>726</v>
      </c>
      <c r="C210" s="147" t="s">
        <v>1524</v>
      </c>
      <c r="D210" s="6" t="s">
        <v>1525</v>
      </c>
      <c r="E210" s="94"/>
      <c r="F210" s="109"/>
      <c r="G210" s="109"/>
      <c r="H210" s="104" t="s">
        <v>249</v>
      </c>
      <c r="I210" s="23">
        <v>3.7</v>
      </c>
      <c r="J210" s="77">
        <v>5.5</v>
      </c>
      <c r="K210" s="6">
        <v>5.5</v>
      </c>
      <c r="L210" s="6"/>
      <c r="M210" s="6" t="s">
        <v>1595</v>
      </c>
      <c r="N210" s="183" t="s">
        <v>727</v>
      </c>
      <c r="Q210" s="116"/>
    </row>
    <row r="211" spans="1:17" s="19" customFormat="1" ht="34.950000000000003" customHeight="1" x14ac:dyDescent="0.3">
      <c r="A211" s="22">
        <v>3</v>
      </c>
      <c r="B211" s="120" t="s">
        <v>728</v>
      </c>
      <c r="C211" s="147" t="s">
        <v>1526</v>
      </c>
      <c r="D211" s="6" t="s">
        <v>1527</v>
      </c>
      <c r="E211" s="94"/>
      <c r="F211" s="109"/>
      <c r="G211" s="109"/>
      <c r="H211" s="104" t="s">
        <v>249</v>
      </c>
      <c r="I211" s="23">
        <v>31</v>
      </c>
      <c r="J211" s="77">
        <v>3.5</v>
      </c>
      <c r="K211" s="6">
        <v>3.5</v>
      </c>
      <c r="L211" s="6"/>
      <c r="M211" s="6" t="s">
        <v>1595</v>
      </c>
      <c r="N211" s="183" t="s">
        <v>729</v>
      </c>
      <c r="Q211" s="116"/>
    </row>
    <row r="212" spans="1:17" s="19" customFormat="1" ht="34.950000000000003" customHeight="1" x14ac:dyDescent="0.3">
      <c r="A212" s="22">
        <v>4</v>
      </c>
      <c r="B212" s="120" t="s">
        <v>730</v>
      </c>
      <c r="C212" s="147" t="s">
        <v>1527</v>
      </c>
      <c r="D212" s="6" t="s">
        <v>1528</v>
      </c>
      <c r="E212" s="94"/>
      <c r="F212" s="109"/>
      <c r="G212" s="109"/>
      <c r="H212" s="104" t="s">
        <v>248</v>
      </c>
      <c r="I212" s="23">
        <v>40</v>
      </c>
      <c r="J212" s="77">
        <v>5.5</v>
      </c>
      <c r="K212" s="6">
        <v>5.5</v>
      </c>
      <c r="L212" s="6"/>
      <c r="M212" s="6" t="s">
        <v>1595</v>
      </c>
      <c r="N212" s="183" t="s">
        <v>711</v>
      </c>
      <c r="Q212" s="116"/>
    </row>
    <row r="213" spans="1:17" s="19" customFormat="1" ht="34.950000000000003" customHeight="1" x14ac:dyDescent="0.3">
      <c r="A213" s="22">
        <v>5</v>
      </c>
      <c r="B213" s="120" t="s">
        <v>731</v>
      </c>
      <c r="C213" s="147" t="s">
        <v>1529</v>
      </c>
      <c r="D213" s="6" t="s">
        <v>1530</v>
      </c>
      <c r="E213" s="94"/>
      <c r="F213" s="109"/>
      <c r="G213" s="109" t="s">
        <v>1220</v>
      </c>
      <c r="H213" s="104" t="s">
        <v>248</v>
      </c>
      <c r="I213" s="23">
        <v>1.4000000000000057</v>
      </c>
      <c r="J213" s="77">
        <v>5.5</v>
      </c>
      <c r="K213" s="6">
        <v>5.5</v>
      </c>
      <c r="L213" s="6"/>
      <c r="M213" s="6" t="s">
        <v>1595</v>
      </c>
      <c r="N213" s="183" t="s">
        <v>732</v>
      </c>
    </row>
    <row r="214" spans="1:17" s="19" customFormat="1" ht="34.950000000000003" customHeight="1" x14ac:dyDescent="0.3">
      <c r="A214" s="22">
        <v>6</v>
      </c>
      <c r="B214" s="120" t="s">
        <v>733</v>
      </c>
      <c r="C214" s="147" t="s">
        <v>1406</v>
      </c>
      <c r="D214" s="6" t="s">
        <v>1531</v>
      </c>
      <c r="E214" s="94"/>
      <c r="F214" s="109"/>
      <c r="G214" s="109"/>
      <c r="H214" s="104" t="s">
        <v>249</v>
      </c>
      <c r="I214" s="23">
        <v>2</v>
      </c>
      <c r="J214" s="77">
        <v>3.5</v>
      </c>
      <c r="K214" s="6">
        <v>3.5</v>
      </c>
      <c r="L214" s="6"/>
      <c r="M214" s="6" t="s">
        <v>1595</v>
      </c>
      <c r="N214" s="183" t="s">
        <v>734</v>
      </c>
    </row>
    <row r="215" spans="1:17" s="19" customFormat="1" ht="34.950000000000003" customHeight="1" x14ac:dyDescent="0.3">
      <c r="A215" s="131" t="s">
        <v>799</v>
      </c>
      <c r="B215" s="132" t="s">
        <v>450</v>
      </c>
      <c r="C215" s="148"/>
      <c r="D215" s="130"/>
      <c r="E215" s="125">
        <v>2011</v>
      </c>
      <c r="F215" s="133"/>
      <c r="G215" s="133"/>
      <c r="H215" s="133"/>
      <c r="I215" s="133">
        <v>27</v>
      </c>
      <c r="J215" s="77"/>
      <c r="K215" s="6"/>
      <c r="L215" s="6"/>
      <c r="M215" s="6"/>
      <c r="N215" s="178"/>
    </row>
    <row r="216" spans="1:17" s="19" customFormat="1" ht="34.950000000000003" customHeight="1" x14ac:dyDescent="0.3">
      <c r="A216" s="24">
        <v>1</v>
      </c>
      <c r="B216" s="120" t="s">
        <v>735</v>
      </c>
      <c r="C216" s="147" t="s">
        <v>1532</v>
      </c>
      <c r="D216" s="6" t="s">
        <v>1533</v>
      </c>
      <c r="E216" s="94"/>
      <c r="F216" s="109" t="s">
        <v>1222</v>
      </c>
      <c r="G216" s="109"/>
      <c r="H216" s="104" t="s">
        <v>247</v>
      </c>
      <c r="I216" s="23">
        <v>1</v>
      </c>
      <c r="J216" s="77">
        <v>8.5</v>
      </c>
      <c r="K216" s="6">
        <v>8.5</v>
      </c>
      <c r="L216" s="6"/>
      <c r="M216" s="6" t="s">
        <v>1595</v>
      </c>
      <c r="N216" s="183" t="s">
        <v>736</v>
      </c>
    </row>
    <row r="217" spans="1:17" s="19" customFormat="1" ht="34.950000000000003" customHeight="1" x14ac:dyDescent="0.3">
      <c r="A217" s="24">
        <v>2</v>
      </c>
      <c r="B217" s="120" t="s">
        <v>737</v>
      </c>
      <c r="C217" s="147" t="s">
        <v>1534</v>
      </c>
      <c r="D217" s="6" t="s">
        <v>1535</v>
      </c>
      <c r="E217" s="94"/>
      <c r="F217" s="109"/>
      <c r="G217" s="109"/>
      <c r="H217" s="104" t="s">
        <v>248</v>
      </c>
      <c r="I217" s="23">
        <v>9</v>
      </c>
      <c r="J217" s="77">
        <v>5.5</v>
      </c>
      <c r="K217" s="6">
        <v>5.5</v>
      </c>
      <c r="L217" s="6"/>
      <c r="M217" s="6" t="s">
        <v>1595</v>
      </c>
      <c r="N217" s="183" t="s">
        <v>711</v>
      </c>
    </row>
    <row r="218" spans="1:17" s="19" customFormat="1" ht="34.950000000000003" customHeight="1" x14ac:dyDescent="0.3">
      <c r="A218" s="24">
        <v>3</v>
      </c>
      <c r="B218" s="120" t="s">
        <v>738</v>
      </c>
      <c r="C218" s="147" t="s">
        <v>1534</v>
      </c>
      <c r="D218" s="6" t="s">
        <v>1536</v>
      </c>
      <c r="E218" s="94"/>
      <c r="F218" s="109"/>
      <c r="G218" s="109"/>
      <c r="H218" s="104" t="s">
        <v>248</v>
      </c>
      <c r="I218" s="23">
        <v>2</v>
      </c>
      <c r="J218" s="77">
        <v>5.5</v>
      </c>
      <c r="K218" s="6">
        <v>5.5</v>
      </c>
      <c r="L218" s="6"/>
      <c r="M218" s="6" t="s">
        <v>1595</v>
      </c>
      <c r="N218" s="183" t="s">
        <v>739</v>
      </c>
    </row>
    <row r="219" spans="1:17" s="19" customFormat="1" ht="34.950000000000003" customHeight="1" x14ac:dyDescent="0.3">
      <c r="A219" s="24">
        <v>4</v>
      </c>
      <c r="B219" s="120" t="s">
        <v>740</v>
      </c>
      <c r="C219" s="147" t="s">
        <v>1536</v>
      </c>
      <c r="D219" s="6" t="s">
        <v>1537</v>
      </c>
      <c r="E219" s="94"/>
      <c r="F219" s="109"/>
      <c r="G219" s="109"/>
      <c r="H219" s="104" t="s">
        <v>248</v>
      </c>
      <c r="I219" s="23">
        <v>8.6000000000000014</v>
      </c>
      <c r="J219" s="77">
        <v>5.5</v>
      </c>
      <c r="K219" s="6">
        <v>5.5</v>
      </c>
      <c r="L219" s="6"/>
      <c r="M219" s="6" t="s">
        <v>1595</v>
      </c>
      <c r="N219" s="183" t="s">
        <v>279</v>
      </c>
    </row>
    <row r="220" spans="1:17" s="19" customFormat="1" ht="34.950000000000003" customHeight="1" x14ac:dyDescent="0.3">
      <c r="A220" s="24">
        <v>5</v>
      </c>
      <c r="B220" s="120" t="s">
        <v>741</v>
      </c>
      <c r="C220" s="147" t="s">
        <v>1537</v>
      </c>
      <c r="D220" s="6" t="s">
        <v>1538</v>
      </c>
      <c r="E220" s="94"/>
      <c r="F220" s="109"/>
      <c r="G220" s="109" t="s">
        <v>1223</v>
      </c>
      <c r="H220" s="104" t="s">
        <v>249</v>
      </c>
      <c r="I220" s="23">
        <v>6.3999999999999986</v>
      </c>
      <c r="J220" s="77">
        <v>5.5</v>
      </c>
      <c r="K220" s="6">
        <v>5.5</v>
      </c>
      <c r="L220" s="6"/>
      <c r="M220" s="6" t="s">
        <v>1595</v>
      </c>
      <c r="N220" s="183" t="s">
        <v>718</v>
      </c>
    </row>
    <row r="221" spans="1:17" s="19" customFormat="1" ht="34.950000000000003" customHeight="1" x14ac:dyDescent="0.3">
      <c r="A221" s="131" t="s">
        <v>800</v>
      </c>
      <c r="B221" s="132" t="s">
        <v>705</v>
      </c>
      <c r="C221" s="148"/>
      <c r="D221" s="130"/>
      <c r="E221" s="125">
        <v>2017</v>
      </c>
      <c r="G221" s="133"/>
      <c r="H221" s="133"/>
      <c r="I221" s="133">
        <v>34</v>
      </c>
      <c r="J221" s="77"/>
      <c r="K221" s="6"/>
      <c r="L221" s="6"/>
      <c r="M221" s="6"/>
      <c r="N221" s="178"/>
    </row>
    <row r="222" spans="1:17" s="19" customFormat="1" ht="34.950000000000003" customHeight="1" x14ac:dyDescent="0.3">
      <c r="A222" s="24">
        <v>1</v>
      </c>
      <c r="B222" s="120" t="s">
        <v>742</v>
      </c>
      <c r="C222" s="147" t="s">
        <v>1292</v>
      </c>
      <c r="D222" s="6" t="s">
        <v>1539</v>
      </c>
      <c r="E222" s="94"/>
      <c r="F222" s="126" t="s">
        <v>1186</v>
      </c>
      <c r="G222" s="108" t="s">
        <v>1228</v>
      </c>
      <c r="H222" s="104" t="s">
        <v>248</v>
      </c>
      <c r="I222" s="23">
        <v>34</v>
      </c>
      <c r="J222" s="77">
        <v>6.5</v>
      </c>
      <c r="K222" s="6">
        <v>6.5</v>
      </c>
      <c r="L222" s="6"/>
      <c r="M222" s="6" t="s">
        <v>1595</v>
      </c>
      <c r="N222" s="183" t="s">
        <v>743</v>
      </c>
    </row>
    <row r="223" spans="1:17" ht="34.950000000000003" customHeight="1" x14ac:dyDescent="0.3">
      <c r="A223" s="131" t="s">
        <v>801</v>
      </c>
      <c r="B223" s="132" t="s">
        <v>477</v>
      </c>
      <c r="C223" s="148"/>
      <c r="D223" s="130"/>
      <c r="E223" s="131"/>
      <c r="F223" s="133"/>
      <c r="G223" s="133"/>
      <c r="H223" s="133"/>
      <c r="I223" s="133">
        <v>26</v>
      </c>
      <c r="J223" s="77"/>
      <c r="K223" s="6"/>
      <c r="L223" s="6"/>
      <c r="M223" s="6"/>
      <c r="N223" s="178"/>
    </row>
    <row r="224" spans="1:17" ht="34.950000000000003" customHeight="1" x14ac:dyDescent="0.3">
      <c r="A224" s="22">
        <v>1</v>
      </c>
      <c r="B224" s="112" t="s">
        <v>744</v>
      </c>
      <c r="C224" s="147" t="s">
        <v>1540</v>
      </c>
      <c r="D224" s="6" t="s">
        <v>1541</v>
      </c>
      <c r="E224" s="94"/>
      <c r="F224" s="109" t="s">
        <v>1229</v>
      </c>
      <c r="G224" s="109"/>
      <c r="H224" s="107" t="s">
        <v>248</v>
      </c>
      <c r="I224" s="108">
        <v>8.6999999999999993</v>
      </c>
      <c r="J224" s="77">
        <v>5.5</v>
      </c>
      <c r="K224" s="6">
        <v>5.5</v>
      </c>
      <c r="L224" s="6"/>
      <c r="M224" s="6" t="s">
        <v>1595</v>
      </c>
      <c r="N224" s="183" t="s">
        <v>279</v>
      </c>
    </row>
    <row r="225" spans="1:14" ht="34.950000000000003" customHeight="1" x14ac:dyDescent="0.3">
      <c r="A225" s="22">
        <f>+A224+1</f>
        <v>2</v>
      </c>
      <c r="B225" s="112" t="s">
        <v>745</v>
      </c>
      <c r="C225" s="147" t="s">
        <v>1541</v>
      </c>
      <c r="D225" s="6" t="s">
        <v>1542</v>
      </c>
      <c r="E225" s="94"/>
      <c r="F225" s="109"/>
      <c r="G225" s="109"/>
      <c r="H225" s="107" t="s">
        <v>248</v>
      </c>
      <c r="I225" s="108">
        <v>10</v>
      </c>
      <c r="J225" s="77">
        <v>5.5</v>
      </c>
      <c r="K225" s="6">
        <v>5.5</v>
      </c>
      <c r="L225" s="6"/>
      <c r="M225" s="6" t="s">
        <v>1595</v>
      </c>
      <c r="N225" s="183" t="s">
        <v>746</v>
      </c>
    </row>
    <row r="226" spans="1:14" ht="34.950000000000003" customHeight="1" x14ac:dyDescent="0.3">
      <c r="A226" s="22">
        <f t="shared" ref="A226" si="1">+A225+1</f>
        <v>3</v>
      </c>
      <c r="B226" s="112" t="s">
        <v>747</v>
      </c>
      <c r="C226" s="147" t="s">
        <v>1542</v>
      </c>
      <c r="D226" s="6" t="s">
        <v>1543</v>
      </c>
      <c r="E226" s="94"/>
      <c r="F226" s="109"/>
      <c r="G226" s="109" t="s">
        <v>1230</v>
      </c>
      <c r="H226" s="107" t="s">
        <v>248</v>
      </c>
      <c r="I226" s="108">
        <v>7.3</v>
      </c>
      <c r="J226" s="77">
        <v>5.5</v>
      </c>
      <c r="K226" s="6">
        <v>5.5</v>
      </c>
      <c r="L226" s="6"/>
      <c r="M226" s="6" t="s">
        <v>1595</v>
      </c>
      <c r="N226" s="183" t="s">
        <v>279</v>
      </c>
    </row>
    <row r="227" spans="1:14" ht="34.950000000000003" customHeight="1" x14ac:dyDescent="0.3">
      <c r="A227" s="131" t="s">
        <v>802</v>
      </c>
      <c r="B227" s="132" t="s">
        <v>515</v>
      </c>
      <c r="C227" s="148"/>
      <c r="D227" s="130"/>
      <c r="E227" s="125">
        <v>2016</v>
      </c>
      <c r="F227" s="133"/>
      <c r="G227" s="133"/>
      <c r="H227" s="133"/>
      <c r="I227" s="133">
        <v>33</v>
      </c>
      <c r="J227" s="77"/>
      <c r="K227" s="6"/>
      <c r="L227" s="6"/>
      <c r="M227" s="6"/>
      <c r="N227" s="178"/>
    </row>
    <row r="228" spans="1:14" ht="34.950000000000003" customHeight="1" x14ac:dyDescent="0.3">
      <c r="A228" s="22">
        <v>1</v>
      </c>
      <c r="B228" s="112" t="s">
        <v>748</v>
      </c>
      <c r="C228" s="147" t="s">
        <v>1540</v>
      </c>
      <c r="D228" s="6" t="s">
        <v>484</v>
      </c>
      <c r="E228" s="94"/>
      <c r="F228" s="109" t="s">
        <v>1231</v>
      </c>
      <c r="G228" s="109"/>
      <c r="H228" s="107" t="s">
        <v>247</v>
      </c>
      <c r="I228" s="108">
        <v>3</v>
      </c>
      <c r="J228" s="77">
        <v>11</v>
      </c>
      <c r="K228" s="6">
        <v>11</v>
      </c>
      <c r="L228" s="6"/>
      <c r="M228" s="6" t="s">
        <v>1595</v>
      </c>
      <c r="N228" s="183" t="s">
        <v>749</v>
      </c>
    </row>
    <row r="229" spans="1:14" ht="34.950000000000003" customHeight="1" x14ac:dyDescent="0.3">
      <c r="A229" s="22">
        <f>+A228+1</f>
        <v>2</v>
      </c>
      <c r="B229" s="112" t="s">
        <v>750</v>
      </c>
      <c r="C229" s="147" t="s">
        <v>484</v>
      </c>
      <c r="D229" s="6" t="s">
        <v>1544</v>
      </c>
      <c r="E229" s="94"/>
      <c r="F229" s="109"/>
      <c r="G229" s="109"/>
      <c r="H229" s="107" t="s">
        <v>248</v>
      </c>
      <c r="I229" s="108">
        <v>2.63</v>
      </c>
      <c r="J229" s="77">
        <v>7</v>
      </c>
      <c r="K229" s="6">
        <v>7</v>
      </c>
      <c r="L229" s="6"/>
      <c r="M229" s="6" t="s">
        <v>1595</v>
      </c>
      <c r="N229" s="183" t="s">
        <v>751</v>
      </c>
    </row>
    <row r="230" spans="1:14" ht="34.950000000000003" customHeight="1" x14ac:dyDescent="0.3">
      <c r="A230" s="22">
        <f t="shared" ref="A230:A231" si="2">+A229+1</f>
        <v>3</v>
      </c>
      <c r="B230" s="112" t="s">
        <v>752</v>
      </c>
      <c r="C230" s="147" t="s">
        <v>1544</v>
      </c>
      <c r="D230" s="6" t="s">
        <v>1545</v>
      </c>
      <c r="E230" s="94"/>
      <c r="F230" s="109"/>
      <c r="G230" s="109"/>
      <c r="H230" s="107" t="s">
        <v>249</v>
      </c>
      <c r="I230" s="108">
        <v>25.74</v>
      </c>
      <c r="J230" s="77">
        <v>3.5</v>
      </c>
      <c r="K230" s="6">
        <v>3.5</v>
      </c>
      <c r="L230" s="6"/>
      <c r="M230" s="6" t="s">
        <v>1595</v>
      </c>
      <c r="N230" s="183" t="s">
        <v>753</v>
      </c>
    </row>
    <row r="231" spans="1:14" ht="34.950000000000003" customHeight="1" x14ac:dyDescent="0.3">
      <c r="A231" s="22">
        <f t="shared" si="2"/>
        <v>4</v>
      </c>
      <c r="B231" s="112" t="s">
        <v>754</v>
      </c>
      <c r="C231" s="147" t="s">
        <v>1545</v>
      </c>
      <c r="D231" s="6" t="s">
        <v>1546</v>
      </c>
      <c r="E231" s="94"/>
      <c r="F231" s="109"/>
      <c r="G231" s="109" t="s">
        <v>1236</v>
      </c>
      <c r="H231" s="107" t="s">
        <v>248</v>
      </c>
      <c r="I231" s="108">
        <v>1.63</v>
      </c>
      <c r="J231" s="77">
        <v>5.5</v>
      </c>
      <c r="K231" s="6">
        <v>5.5</v>
      </c>
      <c r="L231" s="6"/>
      <c r="M231" s="6" t="s">
        <v>1595</v>
      </c>
      <c r="N231" s="183" t="s">
        <v>279</v>
      </c>
    </row>
    <row r="232" spans="1:14" s="19" customFormat="1" ht="34.950000000000003" customHeight="1" x14ac:dyDescent="0.3">
      <c r="A232" s="131" t="s">
        <v>803</v>
      </c>
      <c r="B232" s="132" t="s">
        <v>708</v>
      </c>
      <c r="C232" s="148"/>
      <c r="D232" s="130"/>
      <c r="E232" s="125">
        <v>2018</v>
      </c>
      <c r="F232" s="133"/>
      <c r="G232" s="133"/>
      <c r="H232" s="133"/>
      <c r="I232" s="140">
        <v>52</v>
      </c>
      <c r="J232" s="77"/>
      <c r="K232" s="6"/>
      <c r="L232" s="6"/>
      <c r="M232" s="6"/>
      <c r="N232" s="178"/>
    </row>
    <row r="233" spans="1:14" s="19" customFormat="1" ht="34.950000000000003" customHeight="1" x14ac:dyDescent="0.3">
      <c r="A233" s="22">
        <v>1</v>
      </c>
      <c r="B233" s="112" t="s">
        <v>755</v>
      </c>
      <c r="C233" s="147" t="s">
        <v>1423</v>
      </c>
      <c r="D233" s="6" t="s">
        <v>1547</v>
      </c>
      <c r="E233" s="94"/>
      <c r="F233" s="109" t="s">
        <v>1232</v>
      </c>
      <c r="G233" s="109"/>
      <c r="H233" s="111" t="s">
        <v>248</v>
      </c>
      <c r="I233" s="108">
        <v>20</v>
      </c>
      <c r="J233" s="77">
        <v>5.5</v>
      </c>
      <c r="K233" s="6">
        <v>5.5</v>
      </c>
      <c r="L233" s="6"/>
      <c r="M233" s="6" t="s">
        <v>1595</v>
      </c>
      <c r="N233" s="183" t="s">
        <v>756</v>
      </c>
    </row>
    <row r="234" spans="1:14" s="19" customFormat="1" ht="34.950000000000003" customHeight="1" x14ac:dyDescent="0.3">
      <c r="A234" s="22">
        <v>2</v>
      </c>
      <c r="B234" s="112" t="s">
        <v>1167</v>
      </c>
      <c r="C234" s="147" t="s">
        <v>1548</v>
      </c>
      <c r="D234" s="6" t="s">
        <v>1549</v>
      </c>
      <c r="E234" s="94"/>
      <c r="F234" s="109"/>
      <c r="G234" s="109" t="s">
        <v>1233</v>
      </c>
      <c r="H234" s="111" t="s">
        <v>249</v>
      </c>
      <c r="I234" s="108">
        <v>32</v>
      </c>
      <c r="J234" s="77"/>
      <c r="K234" s="6"/>
      <c r="L234" s="6"/>
      <c r="M234" s="6" t="s">
        <v>1596</v>
      </c>
      <c r="N234" s="183" t="s">
        <v>167</v>
      </c>
    </row>
    <row r="235" spans="1:14" ht="34.950000000000003" customHeight="1" x14ac:dyDescent="0.3">
      <c r="A235" s="131" t="s">
        <v>804</v>
      </c>
      <c r="B235" s="132" t="s">
        <v>530</v>
      </c>
      <c r="C235" s="148"/>
      <c r="D235" s="130"/>
      <c r="E235" s="125">
        <v>2013</v>
      </c>
      <c r="F235" s="133"/>
      <c r="G235" s="133"/>
      <c r="H235" s="133"/>
      <c r="I235" s="133">
        <v>19.5</v>
      </c>
      <c r="J235" s="77"/>
      <c r="K235" s="6"/>
      <c r="L235" s="6"/>
      <c r="M235" s="6"/>
      <c r="N235" s="178"/>
    </row>
    <row r="236" spans="1:14" ht="34.950000000000003" customHeight="1" x14ac:dyDescent="0.3">
      <c r="A236" s="22">
        <v>1</v>
      </c>
      <c r="B236" s="112" t="s">
        <v>757</v>
      </c>
      <c r="C236" s="147" t="s">
        <v>1540</v>
      </c>
      <c r="D236" s="6" t="s">
        <v>1550</v>
      </c>
      <c r="E236" s="94"/>
      <c r="F236" s="109" t="s">
        <v>1234</v>
      </c>
      <c r="G236" s="109" t="s">
        <v>1235</v>
      </c>
      <c r="H236" s="107" t="s">
        <v>248</v>
      </c>
      <c r="I236" s="108">
        <v>19.5</v>
      </c>
      <c r="J236" s="77">
        <v>5.5</v>
      </c>
      <c r="K236" s="6">
        <v>5.5</v>
      </c>
      <c r="L236" s="6"/>
      <c r="M236" s="6" t="s">
        <v>1595</v>
      </c>
      <c r="N236" s="183" t="s">
        <v>279</v>
      </c>
    </row>
    <row r="237" spans="1:14" ht="34.950000000000003" customHeight="1" x14ac:dyDescent="0.3">
      <c r="A237" s="134" t="s">
        <v>1251</v>
      </c>
      <c r="B237" s="135" t="s">
        <v>1577</v>
      </c>
      <c r="C237" s="148"/>
      <c r="D237" s="130"/>
      <c r="E237" s="131"/>
      <c r="F237" s="134"/>
      <c r="G237" s="134"/>
      <c r="H237" s="134"/>
      <c r="I237" s="142"/>
      <c r="J237" s="77"/>
      <c r="K237" s="6"/>
      <c r="L237" s="6"/>
      <c r="M237" s="6"/>
      <c r="N237" s="184"/>
    </row>
    <row r="238" spans="1:14" ht="34.950000000000003" customHeight="1" x14ac:dyDescent="0.3">
      <c r="A238" s="131" t="s">
        <v>245</v>
      </c>
      <c r="B238" s="132" t="s">
        <v>758</v>
      </c>
      <c r="C238" s="148"/>
      <c r="D238" s="130"/>
      <c r="E238" s="131"/>
      <c r="F238" s="133"/>
      <c r="G238" s="133"/>
      <c r="H238" s="133"/>
      <c r="I238" s="133">
        <v>16</v>
      </c>
      <c r="J238" s="77"/>
      <c r="K238" s="6"/>
      <c r="L238" s="6"/>
      <c r="M238" s="6"/>
      <c r="N238" s="178"/>
    </row>
    <row r="239" spans="1:14" ht="34.950000000000003" customHeight="1" x14ac:dyDescent="0.3">
      <c r="A239" s="22">
        <v>1</v>
      </c>
      <c r="B239" s="112" t="s">
        <v>759</v>
      </c>
      <c r="C239" s="147" t="s">
        <v>1540</v>
      </c>
      <c r="D239" s="6" t="s">
        <v>1551</v>
      </c>
      <c r="E239" s="94"/>
      <c r="F239" s="109" t="s">
        <v>1237</v>
      </c>
      <c r="G239" s="109"/>
      <c r="H239" s="107" t="s">
        <v>248</v>
      </c>
      <c r="I239" s="108">
        <v>2.2069999999999999</v>
      </c>
      <c r="J239" s="77">
        <v>7.5</v>
      </c>
      <c r="K239" s="6">
        <v>7.5</v>
      </c>
      <c r="L239" s="6"/>
      <c r="M239" s="6" t="s">
        <v>1595</v>
      </c>
      <c r="N239" s="183" t="s">
        <v>760</v>
      </c>
    </row>
    <row r="240" spans="1:14" ht="34.950000000000003" customHeight="1" x14ac:dyDescent="0.3">
      <c r="A240" s="22">
        <v>2</v>
      </c>
      <c r="B240" s="112" t="s">
        <v>761</v>
      </c>
      <c r="C240" s="147" t="s">
        <v>1551</v>
      </c>
      <c r="D240" s="6" t="s">
        <v>1552</v>
      </c>
      <c r="E240" s="94"/>
      <c r="F240" s="109"/>
      <c r="G240" s="109" t="s">
        <v>1238</v>
      </c>
      <c r="H240" s="107" t="s">
        <v>248</v>
      </c>
      <c r="I240" s="108">
        <v>13.792999999999999</v>
      </c>
      <c r="J240" s="77">
        <v>5.5</v>
      </c>
      <c r="K240" s="6">
        <v>5.5</v>
      </c>
      <c r="L240" s="6"/>
      <c r="M240" s="6" t="s">
        <v>1595</v>
      </c>
      <c r="N240" s="183" t="s">
        <v>746</v>
      </c>
    </row>
    <row r="241" spans="1:14" ht="34.950000000000003" customHeight="1" x14ac:dyDescent="0.3">
      <c r="A241" s="131" t="s">
        <v>564</v>
      </c>
      <c r="B241" s="132" t="s">
        <v>762</v>
      </c>
      <c r="C241" s="148"/>
      <c r="D241" s="130"/>
      <c r="E241" s="131"/>
      <c r="F241" s="133"/>
      <c r="G241" s="133"/>
      <c r="H241" s="133"/>
      <c r="I241" s="133">
        <v>17.088999999999999</v>
      </c>
      <c r="J241" s="77"/>
      <c r="K241" s="6"/>
      <c r="L241" s="6"/>
      <c r="M241" s="6"/>
      <c r="N241" s="178"/>
    </row>
    <row r="242" spans="1:14" ht="34.950000000000003" customHeight="1" x14ac:dyDescent="0.3">
      <c r="A242" s="22">
        <v>1</v>
      </c>
      <c r="B242" s="112" t="s">
        <v>763</v>
      </c>
      <c r="C242" s="147" t="s">
        <v>1540</v>
      </c>
      <c r="D242" s="6" t="s">
        <v>1553</v>
      </c>
      <c r="E242" s="94"/>
      <c r="F242" s="109" t="s">
        <v>1239</v>
      </c>
      <c r="G242" s="109"/>
      <c r="H242" s="107" t="s">
        <v>248</v>
      </c>
      <c r="I242" s="108">
        <v>6.8140000000000001</v>
      </c>
      <c r="J242" s="77">
        <v>5.5</v>
      </c>
      <c r="K242" s="6">
        <v>5.5</v>
      </c>
      <c r="L242" s="6"/>
      <c r="M242" s="6" t="s">
        <v>1595</v>
      </c>
      <c r="N242" s="183" t="s">
        <v>279</v>
      </c>
    </row>
    <row r="243" spans="1:14" s="167" customFormat="1" ht="34.950000000000003" customHeight="1" x14ac:dyDescent="0.3">
      <c r="A243" s="164">
        <f>+A242+1</f>
        <v>2</v>
      </c>
      <c r="B243" s="173" t="s">
        <v>764</v>
      </c>
      <c r="C243" s="162" t="s">
        <v>1553</v>
      </c>
      <c r="D243" s="163" t="s">
        <v>1554</v>
      </c>
      <c r="E243" s="170"/>
      <c r="F243" s="171"/>
      <c r="G243" s="171"/>
      <c r="H243" s="176"/>
      <c r="I243" s="165"/>
      <c r="J243" s="166"/>
      <c r="K243" s="163"/>
      <c r="L243" s="163" t="str">
        <f>N243</f>
        <v>Đi chung với ĐT.173</v>
      </c>
      <c r="M243" s="6" t="s">
        <v>1595</v>
      </c>
      <c r="N243" s="178" t="s">
        <v>1587</v>
      </c>
    </row>
    <row r="244" spans="1:14" ht="34.950000000000003" customHeight="1" x14ac:dyDescent="0.3">
      <c r="A244" s="22">
        <f t="shared" ref="A244:A245" si="3">+A243+1</f>
        <v>3</v>
      </c>
      <c r="B244" s="112" t="s">
        <v>765</v>
      </c>
      <c r="C244" s="147" t="s">
        <v>1554</v>
      </c>
      <c r="D244" s="6" t="s">
        <v>1555</v>
      </c>
      <c r="E244" s="94"/>
      <c r="F244" s="109"/>
      <c r="G244" s="109"/>
      <c r="H244" s="107" t="s">
        <v>248</v>
      </c>
      <c r="I244" s="108">
        <v>3.9940000000000002</v>
      </c>
      <c r="J244" s="77">
        <v>5.5</v>
      </c>
      <c r="K244" s="6">
        <v>5.5</v>
      </c>
      <c r="L244" s="6"/>
      <c r="M244" s="6" t="s">
        <v>1595</v>
      </c>
      <c r="N244" s="183" t="s">
        <v>279</v>
      </c>
    </row>
    <row r="245" spans="1:14" ht="34.950000000000003" customHeight="1" x14ac:dyDescent="0.3">
      <c r="A245" s="22">
        <f t="shared" si="3"/>
        <v>4</v>
      </c>
      <c r="B245" s="112" t="s">
        <v>766</v>
      </c>
      <c r="C245" s="147" t="s">
        <v>1555</v>
      </c>
      <c r="D245" s="6" t="s">
        <v>1556</v>
      </c>
      <c r="E245" s="94"/>
      <c r="F245" s="109"/>
      <c r="G245" s="109" t="s">
        <v>1240</v>
      </c>
      <c r="H245" s="107" t="s">
        <v>248</v>
      </c>
      <c r="I245" s="108">
        <v>6.2809999999999997</v>
      </c>
      <c r="J245" s="77">
        <v>5.5</v>
      </c>
      <c r="K245" s="6">
        <v>5.5</v>
      </c>
      <c r="L245" s="6"/>
      <c r="M245" s="6" t="s">
        <v>1595</v>
      </c>
      <c r="N245" s="183" t="s">
        <v>746</v>
      </c>
    </row>
    <row r="246" spans="1:14" s="113" customFormat="1" ht="34.950000000000003" customHeight="1" x14ac:dyDescent="0.3">
      <c r="A246" s="134" t="s">
        <v>247</v>
      </c>
      <c r="B246" s="138" t="s">
        <v>767</v>
      </c>
      <c r="C246" s="148"/>
      <c r="D246" s="130"/>
      <c r="E246" s="146"/>
      <c r="F246" s="143"/>
      <c r="G246" s="143"/>
      <c r="H246" s="143"/>
      <c r="I246" s="133">
        <v>11.3</v>
      </c>
      <c r="J246" s="77"/>
      <c r="K246" s="6"/>
      <c r="L246" s="6"/>
      <c r="M246" s="6"/>
      <c r="N246" s="184"/>
    </row>
    <row r="247" spans="1:14" s="19" customFormat="1" ht="34.950000000000003" customHeight="1" x14ac:dyDescent="0.3">
      <c r="A247" s="20">
        <v>1</v>
      </c>
      <c r="B247" s="114" t="s">
        <v>768</v>
      </c>
      <c r="C247" s="147" t="s">
        <v>1423</v>
      </c>
      <c r="D247" s="6" t="s">
        <v>1557</v>
      </c>
      <c r="E247" s="94"/>
      <c r="F247" s="109" t="s">
        <v>1241</v>
      </c>
      <c r="G247" s="109" t="s">
        <v>1242</v>
      </c>
      <c r="H247" s="111" t="s">
        <v>248</v>
      </c>
      <c r="I247" s="23">
        <v>11.3</v>
      </c>
      <c r="J247" s="77">
        <v>5.5</v>
      </c>
      <c r="K247" s="6">
        <v>5.5</v>
      </c>
      <c r="L247" s="6"/>
      <c r="M247" s="6" t="s">
        <v>1595</v>
      </c>
      <c r="N247" s="183" t="s">
        <v>769</v>
      </c>
    </row>
    <row r="248" spans="1:14" s="19" customFormat="1" ht="34.950000000000003" customHeight="1" x14ac:dyDescent="0.3">
      <c r="A248" s="131" t="s">
        <v>248</v>
      </c>
      <c r="B248" s="132" t="s">
        <v>1247</v>
      </c>
      <c r="C248" s="148"/>
      <c r="D248" s="130"/>
      <c r="E248" s="131"/>
      <c r="F248" s="133"/>
      <c r="G248" s="133"/>
      <c r="H248" s="133"/>
      <c r="I248" s="133">
        <v>2.2200000000000002</v>
      </c>
      <c r="J248" s="77"/>
      <c r="K248" s="6"/>
      <c r="L248" s="6"/>
      <c r="M248" s="6"/>
      <c r="N248" s="178"/>
    </row>
    <row r="249" spans="1:14" s="19" customFormat="1" ht="34.950000000000003" customHeight="1" x14ac:dyDescent="0.3">
      <c r="A249" s="22">
        <v>1</v>
      </c>
      <c r="B249" s="112" t="s">
        <v>770</v>
      </c>
      <c r="C249" s="147" t="s">
        <v>1406</v>
      </c>
      <c r="D249" s="6" t="s">
        <v>1558</v>
      </c>
      <c r="E249" s="94"/>
      <c r="F249" s="109" t="s">
        <v>1243</v>
      </c>
      <c r="G249" s="109"/>
      <c r="H249" s="111" t="s">
        <v>247</v>
      </c>
      <c r="I249" s="108">
        <v>2.2200000000000002</v>
      </c>
      <c r="J249" s="77">
        <v>10.5</v>
      </c>
      <c r="K249" s="6">
        <v>10.5</v>
      </c>
      <c r="L249" s="6"/>
      <c r="M249" s="6" t="s">
        <v>1595</v>
      </c>
      <c r="N249" s="183" t="s">
        <v>771</v>
      </c>
    </row>
    <row r="250" spans="1:14" ht="34.950000000000003" customHeight="1" x14ac:dyDescent="0.3">
      <c r="A250" s="131" t="s">
        <v>254</v>
      </c>
      <c r="B250" s="132" t="s">
        <v>772</v>
      </c>
      <c r="C250" s="148"/>
      <c r="D250" s="130"/>
      <c r="E250" s="131"/>
      <c r="F250" s="133"/>
      <c r="G250" s="133"/>
      <c r="H250" s="133"/>
      <c r="I250" s="133">
        <v>8</v>
      </c>
      <c r="J250" s="77"/>
      <c r="K250" s="6"/>
      <c r="L250" s="6"/>
      <c r="M250" s="6"/>
      <c r="N250" s="178"/>
    </row>
    <row r="251" spans="1:14" ht="34.950000000000003" customHeight="1" x14ac:dyDescent="0.3">
      <c r="A251" s="24">
        <v>1</v>
      </c>
      <c r="B251" s="120" t="s">
        <v>773</v>
      </c>
      <c r="C251" s="147" t="s">
        <v>1532</v>
      </c>
      <c r="D251" s="6" t="s">
        <v>1559</v>
      </c>
      <c r="E251" s="94"/>
      <c r="F251" s="109" t="s">
        <v>1245</v>
      </c>
      <c r="G251" s="109"/>
      <c r="H251" s="104" t="s">
        <v>249</v>
      </c>
      <c r="I251" s="23">
        <v>5.4</v>
      </c>
      <c r="J251" s="77">
        <v>5.5</v>
      </c>
      <c r="K251" s="6">
        <v>5.5</v>
      </c>
      <c r="L251" s="6"/>
      <c r="M251" s="6" t="s">
        <v>1595</v>
      </c>
      <c r="N251" s="183" t="s">
        <v>774</v>
      </c>
    </row>
    <row r="252" spans="1:14" ht="34.950000000000003" customHeight="1" x14ac:dyDescent="0.3">
      <c r="A252" s="24">
        <v>2</v>
      </c>
      <c r="B252" s="120" t="s">
        <v>775</v>
      </c>
      <c r="C252" s="147" t="s">
        <v>1560</v>
      </c>
      <c r="D252" s="6" t="s">
        <v>1561</v>
      </c>
      <c r="E252" s="94"/>
      <c r="F252" s="109"/>
      <c r="G252" s="109" t="s">
        <v>1245</v>
      </c>
      <c r="H252" s="104" t="s">
        <v>249</v>
      </c>
      <c r="I252" s="23">
        <v>2.6</v>
      </c>
      <c r="J252" s="77">
        <v>5.5</v>
      </c>
      <c r="K252" s="6">
        <v>5.5</v>
      </c>
      <c r="L252" s="6"/>
      <c r="M252" s="6" t="s">
        <v>1595</v>
      </c>
      <c r="N252" s="183" t="s">
        <v>776</v>
      </c>
    </row>
    <row r="253" spans="1:14" ht="34.950000000000003" customHeight="1" x14ac:dyDescent="0.3">
      <c r="A253" s="131" t="s">
        <v>255</v>
      </c>
      <c r="B253" s="132" t="s">
        <v>777</v>
      </c>
      <c r="C253" s="148"/>
      <c r="D253" s="130"/>
      <c r="E253" s="131"/>
      <c r="F253" s="133"/>
      <c r="G253" s="133"/>
      <c r="H253" s="133"/>
      <c r="I253" s="133">
        <v>5.6</v>
      </c>
      <c r="J253" s="77"/>
      <c r="K253" s="6"/>
      <c r="L253" s="6"/>
      <c r="M253" s="6"/>
      <c r="N253" s="178"/>
    </row>
    <row r="254" spans="1:14" ht="34.950000000000003" customHeight="1" x14ac:dyDescent="0.3">
      <c r="A254" s="24">
        <v>1</v>
      </c>
      <c r="B254" s="120" t="s">
        <v>778</v>
      </c>
      <c r="C254" s="147" t="s">
        <v>1540</v>
      </c>
      <c r="D254" s="6" t="s">
        <v>1562</v>
      </c>
      <c r="E254" s="94"/>
      <c r="F254" s="109" t="s">
        <v>1246</v>
      </c>
      <c r="G254" s="109" t="s">
        <v>1244</v>
      </c>
      <c r="H254" s="104" t="s">
        <v>247</v>
      </c>
      <c r="I254" s="23">
        <v>5.6</v>
      </c>
      <c r="J254" s="77">
        <v>21</v>
      </c>
      <c r="K254" s="6">
        <v>21</v>
      </c>
      <c r="L254" s="6"/>
      <c r="M254" s="6" t="s">
        <v>1595</v>
      </c>
      <c r="N254" s="183" t="s">
        <v>779</v>
      </c>
    </row>
    <row r="255" spans="1:14" ht="34.950000000000003" customHeight="1" x14ac:dyDescent="0.3">
      <c r="A255" s="131" t="s">
        <v>251</v>
      </c>
      <c r="B255" s="132" t="s">
        <v>557</v>
      </c>
      <c r="C255" s="148"/>
      <c r="D255" s="130"/>
      <c r="E255" s="131"/>
      <c r="F255" s="133"/>
      <c r="G255" s="133"/>
      <c r="H255" s="133"/>
      <c r="I255" s="133">
        <v>10.97</v>
      </c>
      <c r="J255" s="77"/>
      <c r="K255" s="6"/>
      <c r="L255" s="6"/>
      <c r="M255" s="6"/>
      <c r="N255" s="178"/>
    </row>
    <row r="256" spans="1:14" ht="34.950000000000003" customHeight="1" x14ac:dyDescent="0.3">
      <c r="A256" s="24">
        <v>1</v>
      </c>
      <c r="B256" s="120" t="s">
        <v>780</v>
      </c>
      <c r="C256" s="147" t="s">
        <v>1540</v>
      </c>
      <c r="D256" s="6" t="s">
        <v>1563</v>
      </c>
      <c r="E256" s="94"/>
      <c r="F256" s="109" t="s">
        <v>1246</v>
      </c>
      <c r="G256" s="109" t="s">
        <v>1255</v>
      </c>
      <c r="H256" s="104" t="s">
        <v>247</v>
      </c>
      <c r="I256" s="23">
        <v>10.97</v>
      </c>
      <c r="J256" s="77">
        <v>21</v>
      </c>
      <c r="K256" s="6">
        <v>21</v>
      </c>
      <c r="L256" s="6"/>
      <c r="M256" s="6" t="s">
        <v>1595</v>
      </c>
      <c r="N256" s="183" t="s">
        <v>779</v>
      </c>
    </row>
    <row r="257" spans="1:14" ht="34.950000000000003" customHeight="1" x14ac:dyDescent="0.3">
      <c r="A257" s="131" t="s">
        <v>252</v>
      </c>
      <c r="B257" s="132" t="s">
        <v>782</v>
      </c>
      <c r="C257" s="148"/>
      <c r="D257" s="130"/>
      <c r="E257" s="131"/>
      <c r="F257" s="133"/>
      <c r="G257" s="133"/>
      <c r="H257" s="133"/>
      <c r="I257" s="133">
        <v>7.3</v>
      </c>
      <c r="J257" s="77"/>
      <c r="K257" s="6"/>
      <c r="L257" s="6"/>
      <c r="M257" s="6"/>
      <c r="N257" s="178"/>
    </row>
    <row r="258" spans="1:14" ht="34.950000000000003" customHeight="1" x14ac:dyDescent="0.3">
      <c r="A258" s="24">
        <v>1</v>
      </c>
      <c r="B258" s="120" t="s">
        <v>783</v>
      </c>
      <c r="C258" s="147" t="s">
        <v>1540</v>
      </c>
      <c r="D258" s="6" t="s">
        <v>486</v>
      </c>
      <c r="E258" s="94"/>
      <c r="F258" s="109" t="s">
        <v>1255</v>
      </c>
      <c r="G258" s="109"/>
      <c r="H258" s="104" t="s">
        <v>247</v>
      </c>
      <c r="I258" s="23">
        <v>3.7</v>
      </c>
      <c r="J258" s="77">
        <v>7.5</v>
      </c>
      <c r="K258" s="6">
        <v>7.5</v>
      </c>
      <c r="L258" s="6"/>
      <c r="M258" s="6" t="s">
        <v>1595</v>
      </c>
      <c r="N258" s="183" t="s">
        <v>784</v>
      </c>
    </row>
    <row r="259" spans="1:14" ht="34.950000000000003" customHeight="1" x14ac:dyDescent="0.3">
      <c r="A259" s="24">
        <v>2</v>
      </c>
      <c r="B259" s="120" t="s">
        <v>785</v>
      </c>
      <c r="C259" s="147" t="s">
        <v>486</v>
      </c>
      <c r="D259" s="6" t="s">
        <v>1564</v>
      </c>
      <c r="E259" s="94"/>
      <c r="F259" s="109"/>
      <c r="G259" s="109" t="s">
        <v>1252</v>
      </c>
      <c r="H259" s="104" t="s">
        <v>248</v>
      </c>
      <c r="I259" s="23">
        <v>3.5999999999999996</v>
      </c>
      <c r="J259" s="77">
        <v>5.5</v>
      </c>
      <c r="K259" s="6">
        <v>5.5</v>
      </c>
      <c r="L259" s="6"/>
      <c r="M259" s="6" t="s">
        <v>1595</v>
      </c>
      <c r="N259" s="183" t="s">
        <v>786</v>
      </c>
    </row>
    <row r="260" spans="1:14" ht="34.950000000000003" customHeight="1" x14ac:dyDescent="0.3">
      <c r="A260" s="131" t="s">
        <v>253</v>
      </c>
      <c r="B260" s="132" t="s">
        <v>1248</v>
      </c>
      <c r="C260" s="148"/>
      <c r="D260" s="130"/>
      <c r="E260" s="131"/>
      <c r="F260" s="133"/>
      <c r="G260" s="133"/>
      <c r="H260" s="133"/>
      <c r="I260" s="133">
        <v>1.9</v>
      </c>
      <c r="J260" s="77"/>
      <c r="K260" s="6"/>
      <c r="L260" s="6"/>
      <c r="M260" s="6"/>
      <c r="N260" s="178"/>
    </row>
    <row r="261" spans="1:14" ht="34.950000000000003" customHeight="1" x14ac:dyDescent="0.3">
      <c r="A261" s="24">
        <v>1</v>
      </c>
      <c r="B261" s="120" t="s">
        <v>787</v>
      </c>
      <c r="C261" s="147" t="s">
        <v>1406</v>
      </c>
      <c r="D261" s="6" t="s">
        <v>1565</v>
      </c>
      <c r="E261" s="94"/>
      <c r="F261" s="109"/>
      <c r="G261" s="109"/>
      <c r="H261" s="104" t="s">
        <v>247</v>
      </c>
      <c r="I261" s="23">
        <v>1.9</v>
      </c>
      <c r="J261" s="77">
        <v>15</v>
      </c>
      <c r="K261" s="6">
        <v>15</v>
      </c>
      <c r="L261" s="6"/>
      <c r="M261" s="6" t="s">
        <v>1595</v>
      </c>
      <c r="N261" s="183" t="s">
        <v>788</v>
      </c>
    </row>
    <row r="262" spans="1:14" ht="34.950000000000003" customHeight="1" x14ac:dyDescent="0.3">
      <c r="A262" s="131" t="s">
        <v>254</v>
      </c>
      <c r="B262" s="132" t="s">
        <v>1249</v>
      </c>
      <c r="C262" s="148"/>
      <c r="D262" s="130"/>
      <c r="E262" s="131"/>
      <c r="F262" s="133"/>
      <c r="G262" s="133"/>
      <c r="H262" s="133"/>
      <c r="I262" s="133">
        <v>4.0999999999999996</v>
      </c>
      <c r="J262" s="77"/>
      <c r="K262" s="6"/>
      <c r="L262" s="6"/>
      <c r="M262" s="6"/>
      <c r="N262" s="178"/>
    </row>
    <row r="263" spans="1:14" ht="34.950000000000003" customHeight="1" x14ac:dyDescent="0.3">
      <c r="A263" s="24">
        <v>1</v>
      </c>
      <c r="B263" s="120" t="s">
        <v>787</v>
      </c>
      <c r="C263" s="147" t="s">
        <v>1406</v>
      </c>
      <c r="D263" s="6" t="s">
        <v>1565</v>
      </c>
      <c r="E263" s="94"/>
      <c r="F263" s="109"/>
      <c r="G263" s="109"/>
      <c r="H263" s="104" t="s">
        <v>247</v>
      </c>
      <c r="I263" s="23">
        <v>4.0999999999999996</v>
      </c>
      <c r="J263" s="77">
        <v>15</v>
      </c>
      <c r="K263" s="6">
        <v>15</v>
      </c>
      <c r="L263" s="6"/>
      <c r="M263" s="6" t="s">
        <v>1595</v>
      </c>
      <c r="N263" s="183" t="s">
        <v>788</v>
      </c>
    </row>
    <row r="264" spans="1:14" ht="34.950000000000003" customHeight="1" x14ac:dyDescent="0.3">
      <c r="A264" s="131" t="s">
        <v>255</v>
      </c>
      <c r="B264" s="132" t="s">
        <v>1254</v>
      </c>
      <c r="C264" s="148"/>
      <c r="D264" s="130"/>
      <c r="E264" s="131"/>
      <c r="F264" s="133"/>
      <c r="G264" s="133"/>
      <c r="H264" s="133"/>
      <c r="I264" s="133">
        <v>15.3</v>
      </c>
      <c r="J264" s="77"/>
      <c r="K264" s="6"/>
      <c r="L264" s="6"/>
      <c r="M264" s="6"/>
      <c r="N264" s="178"/>
    </row>
    <row r="265" spans="1:14" ht="34.950000000000003" customHeight="1" x14ac:dyDescent="0.3">
      <c r="A265" s="24">
        <v>1</v>
      </c>
      <c r="B265" s="120" t="s">
        <v>789</v>
      </c>
      <c r="C265" s="147" t="s">
        <v>1540</v>
      </c>
      <c r="D265" s="6" t="s">
        <v>1566</v>
      </c>
      <c r="E265" s="94"/>
      <c r="F265" s="109" t="s">
        <v>1256</v>
      </c>
      <c r="G265" s="109"/>
      <c r="H265" s="104" t="s">
        <v>247</v>
      </c>
      <c r="I265" s="23">
        <v>6.7</v>
      </c>
      <c r="J265" s="77">
        <v>21</v>
      </c>
      <c r="K265" s="6">
        <v>21</v>
      </c>
      <c r="L265" s="6"/>
      <c r="M265" s="6" t="s">
        <v>1595</v>
      </c>
      <c r="N265" s="183" t="s">
        <v>790</v>
      </c>
    </row>
    <row r="266" spans="1:14" ht="34.950000000000003" customHeight="1" x14ac:dyDescent="0.3">
      <c r="A266" s="24">
        <v>2</v>
      </c>
      <c r="B266" s="120" t="s">
        <v>791</v>
      </c>
      <c r="C266" s="147" t="s">
        <v>1567</v>
      </c>
      <c r="D266" s="6" t="s">
        <v>1568</v>
      </c>
      <c r="E266" s="94"/>
      <c r="F266" s="109"/>
      <c r="G266" s="109"/>
      <c r="H266" s="104" t="s">
        <v>247</v>
      </c>
      <c r="I266" s="23">
        <v>4.5999999999999996</v>
      </c>
      <c r="J266" s="77">
        <v>21</v>
      </c>
      <c r="K266" s="6">
        <v>21</v>
      </c>
      <c r="L266" s="6"/>
      <c r="M266" s="6" t="s">
        <v>1595</v>
      </c>
      <c r="N266" s="183" t="s">
        <v>790</v>
      </c>
    </row>
    <row r="267" spans="1:14" ht="34.950000000000003" customHeight="1" x14ac:dyDescent="0.3">
      <c r="A267" s="24">
        <v>4</v>
      </c>
      <c r="B267" s="120" t="s">
        <v>792</v>
      </c>
      <c r="C267" s="147" t="s">
        <v>1540</v>
      </c>
      <c r="D267" s="6" t="s">
        <v>1569</v>
      </c>
      <c r="E267" s="94"/>
      <c r="F267" s="109"/>
      <c r="G267" s="109"/>
      <c r="H267" s="104" t="s">
        <v>247</v>
      </c>
      <c r="I267" s="23">
        <v>2</v>
      </c>
      <c r="J267" s="77">
        <v>21</v>
      </c>
      <c r="K267" s="6">
        <v>21</v>
      </c>
      <c r="L267" s="6"/>
      <c r="M267" s="6" t="s">
        <v>1595</v>
      </c>
      <c r="N267" s="183" t="s">
        <v>790</v>
      </c>
    </row>
    <row r="268" spans="1:14" ht="34.950000000000003" customHeight="1" x14ac:dyDescent="0.3">
      <c r="A268" s="24">
        <v>5</v>
      </c>
      <c r="B268" s="120" t="s">
        <v>793</v>
      </c>
      <c r="C268" s="147" t="s">
        <v>1540</v>
      </c>
      <c r="D268" s="6" t="s">
        <v>1570</v>
      </c>
      <c r="E268" s="94"/>
      <c r="F268" s="109"/>
      <c r="G268" s="109" t="s">
        <v>1255</v>
      </c>
      <c r="H268" s="104" t="s">
        <v>247</v>
      </c>
      <c r="I268" s="23">
        <v>2</v>
      </c>
      <c r="J268" s="77">
        <v>21</v>
      </c>
      <c r="K268" s="6">
        <v>21</v>
      </c>
      <c r="L268" s="6"/>
      <c r="M268" s="6" t="s">
        <v>1595</v>
      </c>
      <c r="N268" s="183" t="s">
        <v>790</v>
      </c>
    </row>
    <row r="269" spans="1:14" ht="34.950000000000003" customHeight="1" x14ac:dyDescent="0.3">
      <c r="A269" s="131" t="s">
        <v>256</v>
      </c>
      <c r="B269" s="132" t="s">
        <v>1253</v>
      </c>
      <c r="C269" s="148"/>
      <c r="D269" s="130"/>
      <c r="E269" s="131"/>
      <c r="F269" s="133"/>
      <c r="G269" s="133"/>
      <c r="H269" s="133"/>
      <c r="I269" s="133">
        <v>49.116999999999997</v>
      </c>
      <c r="J269" s="77"/>
      <c r="K269" s="6"/>
      <c r="L269" s="6"/>
      <c r="M269" s="6"/>
      <c r="N269" s="187"/>
    </row>
    <row r="270" spans="1:14" ht="34.950000000000003" customHeight="1" x14ac:dyDescent="0.3">
      <c r="A270" s="20">
        <v>1</v>
      </c>
      <c r="B270" s="112" t="s">
        <v>794</v>
      </c>
      <c r="C270" s="147" t="s">
        <v>1406</v>
      </c>
      <c r="D270" s="6" t="s">
        <v>1571</v>
      </c>
      <c r="E270" s="22"/>
      <c r="F270" s="108" t="s">
        <v>1241</v>
      </c>
      <c r="G270" s="108" t="s">
        <v>1237</v>
      </c>
      <c r="H270" s="107" t="s">
        <v>248</v>
      </c>
      <c r="I270" s="108">
        <v>45.81</v>
      </c>
      <c r="J270" s="77">
        <v>5</v>
      </c>
      <c r="K270" s="6">
        <v>5</v>
      </c>
      <c r="L270" s="6"/>
      <c r="M270" s="6" t="s">
        <v>1595</v>
      </c>
      <c r="N270" s="188" t="s">
        <v>795</v>
      </c>
    </row>
    <row r="271" spans="1:14" ht="34.950000000000003" customHeight="1" x14ac:dyDescent="0.3">
      <c r="A271" s="131" t="s">
        <v>257</v>
      </c>
      <c r="B271" s="132" t="s">
        <v>1260</v>
      </c>
      <c r="C271" s="148"/>
      <c r="D271" s="130"/>
      <c r="E271" s="131"/>
      <c r="F271" s="133"/>
      <c r="G271" s="133"/>
      <c r="H271" s="96"/>
      <c r="I271" s="133">
        <v>7.51</v>
      </c>
      <c r="J271" s="77"/>
      <c r="K271" s="6"/>
      <c r="L271" s="6"/>
      <c r="M271" s="6"/>
      <c r="N271" s="179"/>
    </row>
    <row r="272" spans="1:14" s="18" customFormat="1" ht="34.950000000000003" customHeight="1" x14ac:dyDescent="0.3">
      <c r="A272" s="22">
        <v>1</v>
      </c>
      <c r="B272" s="112" t="s">
        <v>1260</v>
      </c>
      <c r="C272" s="121"/>
      <c r="D272" s="17"/>
      <c r="E272" s="22"/>
      <c r="F272" s="108"/>
      <c r="G272" s="108"/>
      <c r="H272" s="108" t="s">
        <v>248</v>
      </c>
      <c r="I272" s="108">
        <v>7.51</v>
      </c>
      <c r="J272" s="154" t="s">
        <v>1268</v>
      </c>
      <c r="K272" s="17" t="s">
        <v>1267</v>
      </c>
      <c r="L272" s="17"/>
      <c r="M272" s="6" t="s">
        <v>1595</v>
      </c>
      <c r="N272" s="183" t="s">
        <v>1250</v>
      </c>
    </row>
  </sheetData>
  <autoFilter ref="A1:N272" xr:uid="{00000000-0001-0000-0000-000000000000}"/>
  <printOptions horizontalCentered="1"/>
  <pageMargins left="0.31496062992125984" right="0.31496062992125984" top="0.74803149606299213" bottom="0.55118110236220474" header="0.31496062992125984" footer="0.31496062992125984"/>
  <pageSetup paperSize="9" scale="47" fitToWidth="0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1"/>
  <sheetViews>
    <sheetView view="pageBreakPreview" topLeftCell="A10" zoomScaleNormal="100" zoomScaleSheetLayoutView="100" workbookViewId="0">
      <selection activeCell="H16" sqref="H16"/>
    </sheetView>
  </sheetViews>
  <sheetFormatPr defaultColWidth="9" defaultRowHeight="15.6" x14ac:dyDescent="0.3"/>
  <cols>
    <col min="1" max="1" width="9" style="2"/>
    <col min="2" max="2" width="12.59765625" style="2" customWidth="1"/>
    <col min="3" max="4" width="13.19921875" style="2" customWidth="1"/>
    <col min="5" max="7" width="10.69921875" style="2" customWidth="1"/>
    <col min="8" max="8" width="16.5" style="2" customWidth="1"/>
    <col min="9" max="9" width="14.69921875" style="2" customWidth="1"/>
    <col min="10" max="10" width="13.8984375" style="2" customWidth="1"/>
    <col min="11" max="11" width="25.5" style="2" customWidth="1"/>
    <col min="12" max="16384" width="9" style="2"/>
  </cols>
  <sheetData>
    <row r="1" spans="1:11" ht="26.25" customHeight="1" x14ac:dyDescent="0.3">
      <c r="A1" s="201" t="s">
        <v>11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</row>
    <row r="2" spans="1:11" x14ac:dyDescent="0.3">
      <c r="A2" s="202" t="e">
        <f>'Phụ Lục 1'!#REF!</f>
        <v>#REF!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</row>
    <row r="4" spans="1:11" ht="30" customHeight="1" x14ac:dyDescent="0.3">
      <c r="A4" s="203" t="s">
        <v>0</v>
      </c>
      <c r="B4" s="203" t="s">
        <v>2</v>
      </c>
      <c r="C4" s="204" t="s">
        <v>3</v>
      </c>
      <c r="D4" s="205"/>
      <c r="E4" s="203" t="s">
        <v>4</v>
      </c>
      <c r="F4" s="204" t="s">
        <v>348</v>
      </c>
      <c r="G4" s="205"/>
      <c r="H4" s="203" t="s">
        <v>5</v>
      </c>
      <c r="I4" s="203"/>
      <c r="J4" s="203"/>
      <c r="K4" s="203" t="s">
        <v>1</v>
      </c>
    </row>
    <row r="5" spans="1:11" ht="72" customHeight="1" x14ac:dyDescent="0.3">
      <c r="A5" s="203"/>
      <c r="B5" s="203"/>
      <c r="C5" s="16" t="s">
        <v>353</v>
      </c>
      <c r="D5" s="1" t="s">
        <v>354</v>
      </c>
      <c r="E5" s="203"/>
      <c r="F5" s="15" t="s">
        <v>349</v>
      </c>
      <c r="G5" s="15" t="s">
        <v>350</v>
      </c>
      <c r="H5" s="1" t="s">
        <v>351</v>
      </c>
      <c r="I5" s="1" t="s">
        <v>6</v>
      </c>
      <c r="J5" s="1" t="s">
        <v>7</v>
      </c>
      <c r="K5" s="203"/>
    </row>
    <row r="6" spans="1:11" ht="20.25" customHeight="1" x14ac:dyDescent="0.3">
      <c r="A6" s="7">
        <v>-1</v>
      </c>
      <c r="B6" s="7">
        <v>-2</v>
      </c>
      <c r="C6" s="7">
        <v>-3</v>
      </c>
      <c r="D6" s="7"/>
      <c r="E6" s="7">
        <v>-4</v>
      </c>
      <c r="F6" s="7"/>
      <c r="G6" s="7"/>
      <c r="H6" s="7">
        <v>-5</v>
      </c>
      <c r="I6" s="7">
        <v>-6</v>
      </c>
      <c r="J6" s="7">
        <v>-7</v>
      </c>
      <c r="K6" s="7">
        <v>-8</v>
      </c>
    </row>
    <row r="7" spans="1:11" s="25" customFormat="1" ht="29.25" customHeight="1" x14ac:dyDescent="0.3">
      <c r="A7" s="74" t="s">
        <v>245</v>
      </c>
      <c r="B7" s="74" t="s">
        <v>895</v>
      </c>
      <c r="C7" s="74"/>
      <c r="D7" s="74"/>
      <c r="E7" s="74"/>
      <c r="F7" s="74"/>
      <c r="G7" s="74"/>
      <c r="H7" s="74"/>
      <c r="I7" s="74"/>
      <c r="J7" s="74"/>
      <c r="K7" s="74"/>
    </row>
    <row r="8" spans="1:11" s="5" customFormat="1" ht="29.25" customHeight="1" x14ac:dyDescent="0.3">
      <c r="A8" s="75">
        <v>1</v>
      </c>
      <c r="B8" s="27" t="s">
        <v>971</v>
      </c>
      <c r="C8" s="76" t="s">
        <v>979</v>
      </c>
      <c r="D8" s="27"/>
      <c r="E8" s="27" t="s">
        <v>13</v>
      </c>
      <c r="F8" s="27"/>
      <c r="G8" s="27" t="s">
        <v>249</v>
      </c>
      <c r="H8" s="27" t="s">
        <v>352</v>
      </c>
      <c r="I8" s="27">
        <v>5</v>
      </c>
      <c r="J8" s="27"/>
      <c r="K8" s="77" t="s">
        <v>238</v>
      </c>
    </row>
    <row r="9" spans="1:11" s="5" customFormat="1" ht="29.25" customHeight="1" x14ac:dyDescent="0.3">
      <c r="A9" s="75">
        <v>2</v>
      </c>
      <c r="B9" s="27" t="s">
        <v>971</v>
      </c>
      <c r="C9" s="76" t="s">
        <v>980</v>
      </c>
      <c r="D9" s="27"/>
      <c r="E9" s="27" t="s">
        <v>13</v>
      </c>
      <c r="F9" s="27"/>
      <c r="G9" s="27" t="s">
        <v>249</v>
      </c>
      <c r="H9" s="27" t="s">
        <v>352</v>
      </c>
      <c r="I9" s="27">
        <v>5</v>
      </c>
      <c r="J9" s="27"/>
      <c r="K9" s="77" t="s">
        <v>981</v>
      </c>
    </row>
    <row r="10" spans="1:11" ht="29.25" customHeight="1" x14ac:dyDescent="0.3">
      <c r="A10" s="75">
        <v>3</v>
      </c>
      <c r="B10" s="76" t="s">
        <v>1028</v>
      </c>
      <c r="C10" s="78">
        <v>105720</v>
      </c>
      <c r="D10" s="78"/>
      <c r="E10" s="79" t="s">
        <v>13</v>
      </c>
      <c r="F10" s="79"/>
      <c r="G10" s="79" t="s">
        <v>248</v>
      </c>
      <c r="H10" s="79" t="s">
        <v>352</v>
      </c>
      <c r="I10" s="79">
        <v>10</v>
      </c>
      <c r="J10" s="79">
        <v>6</v>
      </c>
      <c r="K10" s="79" t="s">
        <v>1030</v>
      </c>
    </row>
    <row r="11" spans="1:11" ht="29.25" customHeight="1" x14ac:dyDescent="0.3">
      <c r="A11" s="75">
        <v>4</v>
      </c>
      <c r="B11" s="76" t="s">
        <v>1028</v>
      </c>
      <c r="C11" s="78">
        <v>107980</v>
      </c>
      <c r="D11" s="78"/>
      <c r="E11" s="79" t="s">
        <v>13</v>
      </c>
      <c r="F11" s="79"/>
      <c r="G11" s="79" t="s">
        <v>248</v>
      </c>
      <c r="H11" s="79" t="s">
        <v>352</v>
      </c>
      <c r="I11" s="79">
        <v>10</v>
      </c>
      <c r="J11" s="79">
        <v>5</v>
      </c>
      <c r="K11" s="79" t="s">
        <v>1030</v>
      </c>
    </row>
    <row r="12" spans="1:11" ht="29.25" customHeight="1" x14ac:dyDescent="0.3">
      <c r="A12" s="75">
        <v>5</v>
      </c>
      <c r="B12" s="76" t="s">
        <v>1028</v>
      </c>
      <c r="C12" s="78">
        <v>108200</v>
      </c>
      <c r="D12" s="78"/>
      <c r="E12" s="79" t="s">
        <v>13</v>
      </c>
      <c r="F12" s="79"/>
      <c r="G12" s="79" t="s">
        <v>248</v>
      </c>
      <c r="H12" s="79" t="s">
        <v>352</v>
      </c>
      <c r="I12" s="79">
        <v>11</v>
      </c>
      <c r="J12" s="79">
        <v>5</v>
      </c>
      <c r="K12" s="79" t="s">
        <v>1031</v>
      </c>
    </row>
    <row r="13" spans="1:11" ht="29.25" customHeight="1" x14ac:dyDescent="0.3">
      <c r="A13" s="75">
        <v>6</v>
      </c>
      <c r="B13" s="76" t="s">
        <v>1028</v>
      </c>
      <c r="C13" s="78">
        <v>112150</v>
      </c>
      <c r="D13" s="78"/>
      <c r="E13" s="79" t="s">
        <v>13</v>
      </c>
      <c r="F13" s="79"/>
      <c r="G13" s="79" t="s">
        <v>248</v>
      </c>
      <c r="H13" s="79" t="s">
        <v>352</v>
      </c>
      <c r="I13" s="79">
        <v>11</v>
      </c>
      <c r="J13" s="79">
        <v>5</v>
      </c>
      <c r="K13" s="79" t="s">
        <v>1031</v>
      </c>
    </row>
    <row r="14" spans="1:11" ht="29.25" customHeight="1" x14ac:dyDescent="0.3">
      <c r="A14" s="75">
        <v>7</v>
      </c>
      <c r="B14" s="76" t="s">
        <v>1028</v>
      </c>
      <c r="C14" s="78">
        <v>117630</v>
      </c>
      <c r="D14" s="78"/>
      <c r="E14" s="79" t="s">
        <v>13</v>
      </c>
      <c r="F14" s="79"/>
      <c r="G14" s="79" t="s">
        <v>248</v>
      </c>
      <c r="H14" s="79" t="s">
        <v>352</v>
      </c>
      <c r="I14" s="79">
        <v>11</v>
      </c>
      <c r="J14" s="79">
        <v>5</v>
      </c>
      <c r="K14" s="79" t="s">
        <v>1031</v>
      </c>
    </row>
    <row r="15" spans="1:11" ht="29.25" customHeight="1" x14ac:dyDescent="0.3">
      <c r="A15" s="75">
        <v>8</v>
      </c>
      <c r="B15" s="76" t="s">
        <v>1028</v>
      </c>
      <c r="C15" s="78">
        <v>127050</v>
      </c>
      <c r="D15" s="78"/>
      <c r="E15" s="79" t="s">
        <v>13</v>
      </c>
      <c r="F15" s="79"/>
      <c r="G15" s="79" t="s">
        <v>248</v>
      </c>
      <c r="H15" s="79" t="s">
        <v>352</v>
      </c>
      <c r="I15" s="79">
        <v>11</v>
      </c>
      <c r="J15" s="79">
        <v>5</v>
      </c>
      <c r="K15" s="79" t="s">
        <v>1031</v>
      </c>
    </row>
    <row r="16" spans="1:11" ht="29.25" customHeight="1" x14ac:dyDescent="0.3">
      <c r="A16" s="75">
        <v>9</v>
      </c>
      <c r="B16" s="76" t="s">
        <v>1028</v>
      </c>
      <c r="C16" s="78">
        <v>136050</v>
      </c>
      <c r="D16" s="78"/>
      <c r="E16" s="79" t="s">
        <v>13</v>
      </c>
      <c r="F16" s="80"/>
      <c r="G16" s="79" t="s">
        <v>248</v>
      </c>
      <c r="H16" s="79" t="s">
        <v>352</v>
      </c>
      <c r="I16" s="80">
        <v>12</v>
      </c>
      <c r="J16" s="81">
        <v>4.75</v>
      </c>
      <c r="K16" s="80" t="s">
        <v>1032</v>
      </c>
    </row>
    <row r="17" spans="1:11" ht="29.25" customHeight="1" x14ac:dyDescent="0.3">
      <c r="A17" s="75">
        <v>10</v>
      </c>
      <c r="B17" s="76" t="s">
        <v>1028</v>
      </c>
      <c r="C17" s="78">
        <v>159800</v>
      </c>
      <c r="D17" s="78"/>
      <c r="E17" s="79" t="s">
        <v>13</v>
      </c>
      <c r="F17" s="79"/>
      <c r="G17" s="79" t="s">
        <v>249</v>
      </c>
      <c r="H17" s="79" t="s">
        <v>352</v>
      </c>
      <c r="I17" s="79">
        <v>11</v>
      </c>
      <c r="J17" s="82">
        <v>4.7</v>
      </c>
      <c r="K17" s="79" t="s">
        <v>1030</v>
      </c>
    </row>
    <row r="18" spans="1:11" ht="29.25" customHeight="1" x14ac:dyDescent="0.3">
      <c r="A18" s="75">
        <v>11</v>
      </c>
      <c r="B18" s="76" t="s">
        <v>1028</v>
      </c>
      <c r="C18" s="27" t="s">
        <v>1033</v>
      </c>
      <c r="D18" s="78"/>
      <c r="E18" s="79" t="s">
        <v>13</v>
      </c>
      <c r="F18" s="79"/>
      <c r="G18" s="79" t="s">
        <v>249</v>
      </c>
      <c r="H18" s="79" t="s">
        <v>352</v>
      </c>
      <c r="I18" s="27">
        <v>10.5</v>
      </c>
      <c r="J18" s="27">
        <v>5</v>
      </c>
      <c r="K18" s="27" t="s">
        <v>1031</v>
      </c>
    </row>
    <row r="19" spans="1:11" ht="29.25" customHeight="1" x14ac:dyDescent="0.3">
      <c r="A19" s="75">
        <v>12</v>
      </c>
      <c r="B19" s="76" t="s">
        <v>1028</v>
      </c>
      <c r="C19" s="27" t="s">
        <v>1034</v>
      </c>
      <c r="D19" s="78"/>
      <c r="E19" s="79" t="s">
        <v>13</v>
      </c>
      <c r="F19" s="79"/>
      <c r="G19" s="79" t="s">
        <v>249</v>
      </c>
      <c r="H19" s="79" t="s">
        <v>352</v>
      </c>
      <c r="I19" s="27">
        <v>10.5</v>
      </c>
      <c r="J19" s="27">
        <v>5</v>
      </c>
      <c r="K19" s="27" t="s">
        <v>1031</v>
      </c>
    </row>
    <row r="20" spans="1:11" ht="29.25" customHeight="1" x14ac:dyDescent="0.3">
      <c r="A20" s="75">
        <v>13</v>
      </c>
      <c r="B20" s="76" t="s">
        <v>1028</v>
      </c>
      <c r="C20" s="27" t="s">
        <v>1035</v>
      </c>
      <c r="D20" s="78"/>
      <c r="E20" s="79" t="s">
        <v>13</v>
      </c>
      <c r="F20" s="79"/>
      <c r="G20" s="79" t="s">
        <v>249</v>
      </c>
      <c r="H20" s="79" t="s">
        <v>352</v>
      </c>
      <c r="I20" s="27">
        <v>10.5</v>
      </c>
      <c r="J20" s="27">
        <v>5</v>
      </c>
      <c r="K20" s="27" t="s">
        <v>1031</v>
      </c>
    </row>
    <row r="21" spans="1:11" ht="29.25" customHeight="1" x14ac:dyDescent="0.3">
      <c r="A21" s="75">
        <v>14</v>
      </c>
      <c r="B21" s="76" t="s">
        <v>1028</v>
      </c>
      <c r="C21" s="27" t="s">
        <v>1036</v>
      </c>
      <c r="D21" s="78"/>
      <c r="E21" s="79" t="s">
        <v>13</v>
      </c>
      <c r="F21" s="79"/>
      <c r="G21" s="79" t="s">
        <v>249</v>
      </c>
      <c r="H21" s="79" t="s">
        <v>352</v>
      </c>
      <c r="I21" s="27">
        <v>11.5</v>
      </c>
      <c r="J21" s="27">
        <v>5.3</v>
      </c>
      <c r="K21" s="79" t="s">
        <v>1030</v>
      </c>
    </row>
    <row r="22" spans="1:11" s="5" customFormat="1" ht="29.25" customHeight="1" x14ac:dyDescent="0.3">
      <c r="A22" s="75">
        <v>15</v>
      </c>
      <c r="B22" s="76" t="s">
        <v>883</v>
      </c>
      <c r="C22" s="77" t="s">
        <v>884</v>
      </c>
      <c r="D22" s="75"/>
      <c r="E22" s="75" t="s">
        <v>13</v>
      </c>
      <c r="F22" s="75"/>
      <c r="G22" s="27" t="s">
        <v>247</v>
      </c>
      <c r="H22" s="75" t="s">
        <v>352</v>
      </c>
      <c r="I22" s="77" t="s">
        <v>885</v>
      </c>
      <c r="J22" s="77">
        <v>5.3</v>
      </c>
      <c r="K22" s="77" t="s">
        <v>886</v>
      </c>
    </row>
    <row r="23" spans="1:11" s="5" customFormat="1" ht="29.25" customHeight="1" x14ac:dyDescent="0.3">
      <c r="A23" s="75">
        <v>16</v>
      </c>
      <c r="B23" s="76" t="s">
        <v>883</v>
      </c>
      <c r="C23" s="77" t="s">
        <v>887</v>
      </c>
      <c r="D23" s="75"/>
      <c r="E23" s="75" t="s">
        <v>13</v>
      </c>
      <c r="F23" s="75"/>
      <c r="G23" s="27" t="s">
        <v>247</v>
      </c>
      <c r="H23" s="75" t="s">
        <v>352</v>
      </c>
      <c r="I23" s="77" t="s">
        <v>885</v>
      </c>
      <c r="J23" s="83">
        <v>4.46</v>
      </c>
      <c r="K23" s="77" t="s">
        <v>888</v>
      </c>
    </row>
    <row r="24" spans="1:11" s="5" customFormat="1" ht="29.25" customHeight="1" x14ac:dyDescent="0.3">
      <c r="A24" s="75">
        <v>17</v>
      </c>
      <c r="B24" s="76" t="s">
        <v>879</v>
      </c>
      <c r="C24" s="76" t="s">
        <v>889</v>
      </c>
      <c r="D24" s="84"/>
      <c r="E24" s="27" t="s">
        <v>13</v>
      </c>
      <c r="F24" s="27"/>
      <c r="G24" s="27" t="s">
        <v>248</v>
      </c>
      <c r="H24" s="27" t="s">
        <v>352</v>
      </c>
      <c r="I24" s="76">
        <v>7</v>
      </c>
      <c r="J24" s="76">
        <v>5.2</v>
      </c>
      <c r="K24" s="76" t="s">
        <v>888</v>
      </c>
    </row>
    <row r="25" spans="1:11" s="5" customFormat="1" ht="29.25" customHeight="1" x14ac:dyDescent="0.3">
      <c r="A25" s="75">
        <v>18</v>
      </c>
      <c r="B25" s="76" t="s">
        <v>879</v>
      </c>
      <c r="C25" s="76" t="s">
        <v>890</v>
      </c>
      <c r="D25" s="84"/>
      <c r="E25" s="27" t="s">
        <v>13</v>
      </c>
      <c r="F25" s="27"/>
      <c r="G25" s="27" t="s">
        <v>248</v>
      </c>
      <c r="H25" s="27" t="s">
        <v>352</v>
      </c>
      <c r="I25" s="76">
        <v>9</v>
      </c>
      <c r="J25" s="76">
        <v>4.45</v>
      </c>
      <c r="K25" s="76" t="s">
        <v>888</v>
      </c>
    </row>
    <row r="26" spans="1:11" s="5" customFormat="1" ht="29.25" customHeight="1" x14ac:dyDescent="0.3">
      <c r="A26" s="75">
        <v>19</v>
      </c>
      <c r="B26" s="76" t="s">
        <v>879</v>
      </c>
      <c r="C26" s="76" t="s">
        <v>891</v>
      </c>
      <c r="D26" s="84"/>
      <c r="E26" s="27" t="s">
        <v>13</v>
      </c>
      <c r="F26" s="27"/>
      <c r="G26" s="27" t="s">
        <v>248</v>
      </c>
      <c r="H26" s="27" t="s">
        <v>352</v>
      </c>
      <c r="I26" s="76">
        <v>7</v>
      </c>
      <c r="J26" s="76">
        <v>5.25</v>
      </c>
      <c r="K26" s="76" t="s">
        <v>888</v>
      </c>
    </row>
    <row r="27" spans="1:11" s="5" customFormat="1" ht="29.25" customHeight="1" x14ac:dyDescent="0.3">
      <c r="A27" s="75">
        <v>20</v>
      </c>
      <c r="B27" s="76" t="s">
        <v>879</v>
      </c>
      <c r="C27" s="76" t="s">
        <v>892</v>
      </c>
      <c r="D27" s="84"/>
      <c r="E27" s="27" t="s">
        <v>13</v>
      </c>
      <c r="F27" s="27"/>
      <c r="G27" s="27" t="s">
        <v>248</v>
      </c>
      <c r="H27" s="27" t="s">
        <v>352</v>
      </c>
      <c r="I27" s="76">
        <v>5.5</v>
      </c>
      <c r="J27" s="76">
        <v>4.82</v>
      </c>
      <c r="K27" s="76" t="s">
        <v>888</v>
      </c>
    </row>
    <row r="28" spans="1:11" ht="29.25" customHeight="1" x14ac:dyDescent="0.3">
      <c r="A28" s="75">
        <v>21</v>
      </c>
      <c r="B28" s="27" t="s">
        <v>1084</v>
      </c>
      <c r="C28" s="27" t="s">
        <v>1103</v>
      </c>
      <c r="D28" s="27"/>
      <c r="E28" s="27" t="s">
        <v>13</v>
      </c>
      <c r="F28" s="27"/>
      <c r="G28" s="27" t="s">
        <v>248</v>
      </c>
      <c r="H28" s="27" t="s">
        <v>352</v>
      </c>
      <c r="I28" s="27">
        <v>9</v>
      </c>
      <c r="J28" s="27">
        <v>4.5</v>
      </c>
      <c r="K28" s="27" t="s">
        <v>1104</v>
      </c>
    </row>
    <row r="29" spans="1:11" s="5" customFormat="1" ht="29.25" customHeight="1" x14ac:dyDescent="0.3">
      <c r="A29" s="75">
        <v>22</v>
      </c>
      <c r="B29" s="27" t="s">
        <v>851</v>
      </c>
      <c r="C29" s="27" t="s">
        <v>893</v>
      </c>
      <c r="D29" s="27"/>
      <c r="E29" s="27" t="s">
        <v>13</v>
      </c>
      <c r="F29" s="27"/>
      <c r="G29" s="27" t="s">
        <v>248</v>
      </c>
      <c r="H29" s="27" t="s">
        <v>352</v>
      </c>
      <c r="I29" s="27">
        <v>12</v>
      </c>
      <c r="J29" s="27">
        <v>4.75</v>
      </c>
      <c r="K29" s="76" t="s">
        <v>894</v>
      </c>
    </row>
    <row r="30" spans="1:11" s="25" customFormat="1" ht="29.25" customHeight="1" x14ac:dyDescent="0.3">
      <c r="A30" s="85" t="s">
        <v>564</v>
      </c>
      <c r="B30" s="85" t="s">
        <v>563</v>
      </c>
      <c r="C30" s="85"/>
      <c r="D30" s="85"/>
      <c r="E30" s="85"/>
      <c r="F30" s="85"/>
      <c r="G30" s="85"/>
      <c r="H30" s="85"/>
      <c r="I30" s="85"/>
      <c r="J30" s="85"/>
      <c r="K30" s="86"/>
    </row>
    <row r="31" spans="1:11" ht="29.25" customHeight="1" x14ac:dyDescent="0.3">
      <c r="A31" s="87">
        <v>1</v>
      </c>
      <c r="B31" s="87" t="s">
        <v>12</v>
      </c>
      <c r="C31" s="87" t="s">
        <v>21</v>
      </c>
      <c r="D31" s="87"/>
      <c r="E31" s="27" t="s">
        <v>13</v>
      </c>
      <c r="F31" s="27"/>
      <c r="G31" s="27" t="s">
        <v>247</v>
      </c>
      <c r="H31" s="27" t="s">
        <v>352</v>
      </c>
      <c r="I31" s="87">
        <v>6</v>
      </c>
      <c r="J31" s="87">
        <v>7.5</v>
      </c>
      <c r="K31" s="87" t="s">
        <v>39</v>
      </c>
    </row>
    <row r="32" spans="1:11" ht="29.25" customHeight="1" x14ac:dyDescent="0.3">
      <c r="A32" s="87">
        <v>2</v>
      </c>
      <c r="B32" s="87" t="s">
        <v>12</v>
      </c>
      <c r="C32" s="87" t="s">
        <v>22</v>
      </c>
      <c r="D32" s="87"/>
      <c r="E32" s="27" t="s">
        <v>13</v>
      </c>
      <c r="F32" s="27"/>
      <c r="G32" s="27" t="s">
        <v>248</v>
      </c>
      <c r="H32" s="27" t="s">
        <v>352</v>
      </c>
      <c r="I32" s="87">
        <v>5.5</v>
      </c>
      <c r="J32" s="87">
        <v>5</v>
      </c>
      <c r="K32" s="87" t="s">
        <v>40</v>
      </c>
    </row>
    <row r="33" spans="1:13" ht="29.25" customHeight="1" x14ac:dyDescent="0.3">
      <c r="A33" s="87">
        <v>3</v>
      </c>
      <c r="B33" s="87" t="s">
        <v>12</v>
      </c>
      <c r="C33" s="87" t="s">
        <v>23</v>
      </c>
      <c r="D33" s="87"/>
      <c r="E33" s="27" t="s">
        <v>13</v>
      </c>
      <c r="F33" s="27"/>
      <c r="G33" s="27" t="s">
        <v>248</v>
      </c>
      <c r="H33" s="27" t="s">
        <v>352</v>
      </c>
      <c r="I33" s="87">
        <v>5.5</v>
      </c>
      <c r="J33" s="87">
        <v>5</v>
      </c>
      <c r="K33" s="87" t="s">
        <v>41</v>
      </c>
    </row>
    <row r="34" spans="1:13" ht="29.25" customHeight="1" x14ac:dyDescent="0.3">
      <c r="A34" s="87">
        <v>4</v>
      </c>
      <c r="B34" s="87" t="s">
        <v>12</v>
      </c>
      <c r="C34" s="87" t="s">
        <v>24</v>
      </c>
      <c r="D34" s="87"/>
      <c r="E34" s="27" t="s">
        <v>13</v>
      </c>
      <c r="F34" s="27"/>
      <c r="G34" s="27" t="s">
        <v>248</v>
      </c>
      <c r="H34" s="27" t="s">
        <v>352</v>
      </c>
      <c r="I34" s="87">
        <v>5.5</v>
      </c>
      <c r="J34" s="87">
        <v>4.5</v>
      </c>
      <c r="K34" s="87" t="s">
        <v>42</v>
      </c>
    </row>
    <row r="35" spans="1:13" ht="29.25" customHeight="1" x14ac:dyDescent="0.3">
      <c r="A35" s="87">
        <v>5</v>
      </c>
      <c r="B35" s="87" t="s">
        <v>14</v>
      </c>
      <c r="C35" s="87" t="s">
        <v>25</v>
      </c>
      <c r="D35" s="87"/>
      <c r="E35" s="27" t="s">
        <v>13</v>
      </c>
      <c r="F35" s="27"/>
      <c r="G35" s="27" t="s">
        <v>248</v>
      </c>
      <c r="H35" s="27" t="s">
        <v>352</v>
      </c>
      <c r="I35" s="87">
        <v>4</v>
      </c>
      <c r="J35" s="87">
        <v>4.75</v>
      </c>
      <c r="K35" s="87" t="s">
        <v>43</v>
      </c>
    </row>
    <row r="36" spans="1:13" ht="29.25" customHeight="1" x14ac:dyDescent="0.3">
      <c r="A36" s="87">
        <v>6</v>
      </c>
      <c r="B36" s="87" t="s">
        <v>15</v>
      </c>
      <c r="C36" s="87" t="s">
        <v>26</v>
      </c>
      <c r="D36" s="87"/>
      <c r="E36" s="27" t="s">
        <v>13</v>
      </c>
      <c r="F36" s="27"/>
      <c r="G36" s="27" t="s">
        <v>249</v>
      </c>
      <c r="H36" s="27" t="s">
        <v>352</v>
      </c>
      <c r="I36" s="87">
        <v>6</v>
      </c>
      <c r="J36" s="87">
        <v>4.8499999999999996</v>
      </c>
      <c r="K36" s="87" t="s">
        <v>39</v>
      </c>
    </row>
    <row r="37" spans="1:13" ht="29.25" customHeight="1" x14ac:dyDescent="0.3">
      <c r="A37" s="87">
        <v>7</v>
      </c>
      <c r="B37" s="87" t="s">
        <v>15</v>
      </c>
      <c r="C37" s="87" t="s">
        <v>27</v>
      </c>
      <c r="D37" s="87"/>
      <c r="E37" s="27" t="s">
        <v>13</v>
      </c>
      <c r="F37" s="27"/>
      <c r="G37" s="27" t="s">
        <v>249</v>
      </c>
      <c r="H37" s="27" t="s">
        <v>352</v>
      </c>
      <c r="I37" s="87">
        <v>6</v>
      </c>
      <c r="J37" s="87">
        <v>4.8499999999999996</v>
      </c>
      <c r="K37" s="87" t="s">
        <v>39</v>
      </c>
    </row>
    <row r="38" spans="1:13" ht="29.25" customHeight="1" x14ac:dyDescent="0.3">
      <c r="A38" s="87">
        <v>8</v>
      </c>
      <c r="B38" s="87" t="s">
        <v>15</v>
      </c>
      <c r="C38" s="87" t="s">
        <v>28</v>
      </c>
      <c r="D38" s="87"/>
      <c r="E38" s="27" t="s">
        <v>13</v>
      </c>
      <c r="F38" s="27"/>
      <c r="G38" s="27" t="s">
        <v>249</v>
      </c>
      <c r="H38" s="27" t="s">
        <v>352</v>
      </c>
      <c r="I38" s="87">
        <v>6</v>
      </c>
      <c r="J38" s="87">
        <v>4.8</v>
      </c>
      <c r="K38" s="87" t="s">
        <v>39</v>
      </c>
    </row>
    <row r="39" spans="1:13" ht="29.25" customHeight="1" x14ac:dyDescent="0.3">
      <c r="A39" s="87">
        <v>9</v>
      </c>
      <c r="B39" s="87" t="s">
        <v>15</v>
      </c>
      <c r="C39" s="87" t="s">
        <v>29</v>
      </c>
      <c r="D39" s="87"/>
      <c r="E39" s="27" t="s">
        <v>13</v>
      </c>
      <c r="F39" s="27"/>
      <c r="G39" s="27" t="s">
        <v>249</v>
      </c>
      <c r="H39" s="27" t="s">
        <v>352</v>
      </c>
      <c r="I39" s="87">
        <v>6</v>
      </c>
      <c r="J39" s="87">
        <v>5</v>
      </c>
      <c r="K39" s="87" t="s">
        <v>39</v>
      </c>
    </row>
    <row r="40" spans="1:13" ht="29.25" customHeight="1" x14ac:dyDescent="0.3">
      <c r="A40" s="87">
        <v>10</v>
      </c>
      <c r="B40" s="87" t="s">
        <v>15</v>
      </c>
      <c r="C40" s="87" t="s">
        <v>30</v>
      </c>
      <c r="D40" s="87"/>
      <c r="E40" s="27" t="s">
        <v>13</v>
      </c>
      <c r="F40" s="27"/>
      <c r="G40" s="27" t="s">
        <v>249</v>
      </c>
      <c r="H40" s="27" t="s">
        <v>352</v>
      </c>
      <c r="I40" s="87">
        <v>6</v>
      </c>
      <c r="J40" s="87">
        <v>5</v>
      </c>
      <c r="K40" s="87" t="s">
        <v>39</v>
      </c>
    </row>
    <row r="41" spans="1:13" ht="29.25" customHeight="1" x14ac:dyDescent="0.3">
      <c r="A41" s="87">
        <v>11</v>
      </c>
      <c r="B41" s="87" t="s">
        <v>15</v>
      </c>
      <c r="C41" s="87" t="s">
        <v>31</v>
      </c>
      <c r="D41" s="87"/>
      <c r="E41" s="27" t="s">
        <v>13</v>
      </c>
      <c r="F41" s="27"/>
      <c r="G41" s="27" t="s">
        <v>249</v>
      </c>
      <c r="H41" s="27" t="s">
        <v>352</v>
      </c>
      <c r="I41" s="87">
        <v>6</v>
      </c>
      <c r="J41" s="87">
        <v>4.8</v>
      </c>
      <c r="K41" s="87" t="s">
        <v>39</v>
      </c>
    </row>
    <row r="42" spans="1:13" ht="29.25" customHeight="1" x14ac:dyDescent="0.3">
      <c r="A42" s="87">
        <v>12</v>
      </c>
      <c r="B42" s="87" t="s">
        <v>15</v>
      </c>
      <c r="C42" s="87" t="s">
        <v>32</v>
      </c>
      <c r="D42" s="87"/>
      <c r="E42" s="27" t="s">
        <v>13</v>
      </c>
      <c r="F42" s="27"/>
      <c r="G42" s="27" t="s">
        <v>249</v>
      </c>
      <c r="H42" s="27" t="s">
        <v>352</v>
      </c>
      <c r="I42" s="87">
        <v>6</v>
      </c>
      <c r="J42" s="87">
        <v>4.75</v>
      </c>
      <c r="K42" s="87" t="s">
        <v>39</v>
      </c>
    </row>
    <row r="43" spans="1:13" ht="29.25" customHeight="1" x14ac:dyDescent="0.3">
      <c r="A43" s="87">
        <v>13</v>
      </c>
      <c r="B43" s="88" t="s">
        <v>15</v>
      </c>
      <c r="C43" s="88" t="s">
        <v>33</v>
      </c>
      <c r="D43" s="88"/>
      <c r="E43" s="27" t="s">
        <v>13</v>
      </c>
      <c r="F43" s="27"/>
      <c r="G43" s="27" t="s">
        <v>249</v>
      </c>
      <c r="H43" s="27" t="s">
        <v>352</v>
      </c>
      <c r="I43" s="88">
        <v>6.5</v>
      </c>
      <c r="J43" s="88">
        <v>5</v>
      </c>
      <c r="K43" s="88" t="s">
        <v>39</v>
      </c>
    </row>
    <row r="44" spans="1:13" ht="29.25" customHeight="1" x14ac:dyDescent="0.3">
      <c r="A44" s="87">
        <v>14</v>
      </c>
      <c r="B44" s="88" t="s">
        <v>16</v>
      </c>
      <c r="C44" s="88" t="s">
        <v>360</v>
      </c>
      <c r="D44" s="88"/>
      <c r="E44" s="27" t="s">
        <v>13</v>
      </c>
      <c r="F44" s="27"/>
      <c r="G44" s="27" t="s">
        <v>247</v>
      </c>
      <c r="H44" s="27" t="s">
        <v>352</v>
      </c>
      <c r="I44" s="88">
        <v>7.5</v>
      </c>
      <c r="J44" s="88">
        <v>6.5</v>
      </c>
      <c r="K44" s="89" t="s">
        <v>361</v>
      </c>
      <c r="M44" s="60">
        <f>+A59+A29</f>
        <v>51</v>
      </c>
    </row>
    <row r="45" spans="1:13" ht="29.25" customHeight="1" x14ac:dyDescent="0.3">
      <c r="A45" s="87">
        <v>15</v>
      </c>
      <c r="B45" s="88" t="s">
        <v>16</v>
      </c>
      <c r="C45" s="88" t="s">
        <v>359</v>
      </c>
      <c r="D45" s="88"/>
      <c r="E45" s="27" t="s">
        <v>13</v>
      </c>
      <c r="F45" s="27"/>
      <c r="G45" s="27" t="s">
        <v>247</v>
      </c>
      <c r="H45" s="27" t="s">
        <v>352</v>
      </c>
      <c r="I45" s="88">
        <v>6.5</v>
      </c>
      <c r="J45" s="88">
        <v>4.5</v>
      </c>
      <c r="K45" s="89" t="s">
        <v>362</v>
      </c>
    </row>
    <row r="46" spans="1:13" ht="29.25" customHeight="1" x14ac:dyDescent="0.3">
      <c r="A46" s="87">
        <v>16</v>
      </c>
      <c r="B46" s="88" t="s">
        <v>19</v>
      </c>
      <c r="C46" s="88" t="s">
        <v>37</v>
      </c>
      <c r="D46" s="88"/>
      <c r="E46" s="88" t="s">
        <v>13</v>
      </c>
      <c r="F46" s="88"/>
      <c r="G46" s="88" t="s">
        <v>357</v>
      </c>
      <c r="H46" s="27" t="s">
        <v>352</v>
      </c>
      <c r="I46" s="88">
        <v>10</v>
      </c>
      <c r="J46" s="88">
        <v>5</v>
      </c>
      <c r="K46" s="88" t="s">
        <v>46</v>
      </c>
    </row>
    <row r="47" spans="1:13" ht="29.25" customHeight="1" x14ac:dyDescent="0.3">
      <c r="A47" s="87">
        <v>17</v>
      </c>
      <c r="B47" s="27" t="s">
        <v>18</v>
      </c>
      <c r="C47" s="27" t="s">
        <v>35</v>
      </c>
      <c r="D47" s="27"/>
      <c r="E47" s="27" t="s">
        <v>13</v>
      </c>
      <c r="F47" s="27"/>
      <c r="G47" s="27" t="s">
        <v>250</v>
      </c>
      <c r="H47" s="27" t="s">
        <v>352</v>
      </c>
      <c r="I47" s="88">
        <v>9</v>
      </c>
      <c r="J47" s="88">
        <v>5</v>
      </c>
      <c r="K47" s="27" t="s">
        <v>45</v>
      </c>
    </row>
    <row r="48" spans="1:13" ht="29.25" customHeight="1" x14ac:dyDescent="0.3">
      <c r="A48" s="87">
        <v>18</v>
      </c>
      <c r="B48" s="27" t="s">
        <v>18</v>
      </c>
      <c r="C48" s="88" t="s">
        <v>36</v>
      </c>
      <c r="D48" s="88"/>
      <c r="E48" s="27" t="s">
        <v>13</v>
      </c>
      <c r="F48" s="27"/>
      <c r="G48" s="27" t="s">
        <v>250</v>
      </c>
      <c r="H48" s="27" t="s">
        <v>352</v>
      </c>
      <c r="I48" s="88">
        <v>8</v>
      </c>
      <c r="J48" s="88">
        <v>5</v>
      </c>
      <c r="K48" s="27" t="s">
        <v>45</v>
      </c>
    </row>
    <row r="49" spans="1:11" ht="29.25" customHeight="1" x14ac:dyDescent="0.3">
      <c r="A49" s="87">
        <v>19</v>
      </c>
      <c r="B49" s="27" t="s">
        <v>20</v>
      </c>
      <c r="C49" s="27" t="s">
        <v>38</v>
      </c>
      <c r="D49" s="27"/>
      <c r="E49" s="88" t="s">
        <v>13</v>
      </c>
      <c r="F49" s="88"/>
      <c r="G49" s="88" t="s">
        <v>357</v>
      </c>
      <c r="H49" s="27" t="s">
        <v>352</v>
      </c>
      <c r="I49" s="27">
        <v>8</v>
      </c>
      <c r="J49" s="27">
        <v>4</v>
      </c>
      <c r="K49" s="88" t="s">
        <v>1105</v>
      </c>
    </row>
    <row r="50" spans="1:11" ht="29.25" customHeight="1" x14ac:dyDescent="0.3">
      <c r="A50" s="87">
        <v>20</v>
      </c>
      <c r="B50" s="88" t="s">
        <v>17</v>
      </c>
      <c r="C50" s="88" t="s">
        <v>34</v>
      </c>
      <c r="D50" s="88"/>
      <c r="E50" s="27" t="s">
        <v>13</v>
      </c>
      <c r="F50" s="27"/>
      <c r="G50" s="27" t="s">
        <v>249</v>
      </c>
      <c r="H50" s="27" t="s">
        <v>352</v>
      </c>
      <c r="I50" s="88">
        <v>4</v>
      </c>
      <c r="J50" s="88">
        <v>5.5</v>
      </c>
      <c r="K50" s="88" t="s">
        <v>39</v>
      </c>
    </row>
    <row r="51" spans="1:11" ht="29.25" customHeight="1" x14ac:dyDescent="0.3">
      <c r="A51" s="87">
        <v>21</v>
      </c>
      <c r="B51" s="90" t="s">
        <v>364</v>
      </c>
      <c r="C51" s="90" t="s">
        <v>692</v>
      </c>
      <c r="D51" s="90"/>
      <c r="E51" s="91" t="s">
        <v>13</v>
      </c>
      <c r="F51" s="91"/>
      <c r="G51" s="91" t="s">
        <v>249</v>
      </c>
      <c r="H51" s="91" t="s">
        <v>352</v>
      </c>
      <c r="I51" s="91" t="s">
        <v>693</v>
      </c>
      <c r="J51" s="91" t="s">
        <v>694</v>
      </c>
      <c r="K51" s="90" t="s">
        <v>39</v>
      </c>
    </row>
    <row r="52" spans="1:11" ht="29.25" customHeight="1" x14ac:dyDescent="0.3">
      <c r="A52" s="87">
        <v>22</v>
      </c>
      <c r="B52" s="90" t="s">
        <v>364</v>
      </c>
      <c r="C52" s="90" t="s">
        <v>695</v>
      </c>
      <c r="D52" s="90"/>
      <c r="E52" s="91" t="s">
        <v>13</v>
      </c>
      <c r="F52" s="91"/>
      <c r="G52" s="91" t="s">
        <v>249</v>
      </c>
      <c r="H52" s="91" t="s">
        <v>352</v>
      </c>
      <c r="I52" s="91" t="s">
        <v>693</v>
      </c>
      <c r="J52" s="91" t="s">
        <v>696</v>
      </c>
      <c r="K52" s="90" t="s">
        <v>39</v>
      </c>
    </row>
    <row r="53" spans="1:11" ht="29.25" customHeight="1" x14ac:dyDescent="0.3">
      <c r="A53" s="87">
        <v>23</v>
      </c>
      <c r="B53" s="90" t="s">
        <v>364</v>
      </c>
      <c r="C53" s="90" t="s">
        <v>697</v>
      </c>
      <c r="D53" s="90"/>
      <c r="E53" s="91" t="s">
        <v>13</v>
      </c>
      <c r="F53" s="91"/>
      <c r="G53" s="91" t="s">
        <v>249</v>
      </c>
      <c r="H53" s="91" t="s">
        <v>352</v>
      </c>
      <c r="I53" s="91" t="s">
        <v>698</v>
      </c>
      <c r="J53" s="91" t="s">
        <v>699</v>
      </c>
      <c r="K53" s="90" t="s">
        <v>39</v>
      </c>
    </row>
    <row r="54" spans="1:11" ht="29.25" customHeight="1" x14ac:dyDescent="0.3">
      <c r="A54" s="87">
        <v>24</v>
      </c>
      <c r="B54" s="90" t="s">
        <v>364</v>
      </c>
      <c r="C54" s="90" t="s">
        <v>700</v>
      </c>
      <c r="D54" s="90"/>
      <c r="E54" s="91" t="s">
        <v>13</v>
      </c>
      <c r="F54" s="91"/>
      <c r="G54" s="91" t="s">
        <v>249</v>
      </c>
      <c r="H54" s="91" t="s">
        <v>352</v>
      </c>
      <c r="I54" s="91" t="s">
        <v>701</v>
      </c>
      <c r="J54" s="91" t="s">
        <v>699</v>
      </c>
      <c r="K54" s="90" t="s">
        <v>39</v>
      </c>
    </row>
    <row r="55" spans="1:11" ht="29.25" customHeight="1" x14ac:dyDescent="0.3">
      <c r="A55" s="87">
        <v>25</v>
      </c>
      <c r="B55" s="90" t="s">
        <v>364</v>
      </c>
      <c r="C55" s="90" t="s">
        <v>702</v>
      </c>
      <c r="D55" s="90"/>
      <c r="E55" s="91" t="s">
        <v>13</v>
      </c>
      <c r="F55" s="91"/>
      <c r="G55" s="91" t="s">
        <v>249</v>
      </c>
      <c r="H55" s="91" t="s">
        <v>352</v>
      </c>
      <c r="I55" s="91" t="s">
        <v>698</v>
      </c>
      <c r="J55" s="91" t="s">
        <v>699</v>
      </c>
      <c r="K55" s="90" t="s">
        <v>39</v>
      </c>
    </row>
    <row r="56" spans="1:11" ht="29.25" customHeight="1" x14ac:dyDescent="0.3">
      <c r="A56" s="87">
        <v>26</v>
      </c>
      <c r="B56" s="90" t="s">
        <v>364</v>
      </c>
      <c r="C56" s="90" t="s">
        <v>703</v>
      </c>
      <c r="D56" s="90"/>
      <c r="E56" s="91" t="s">
        <v>13</v>
      </c>
      <c r="F56" s="91"/>
      <c r="G56" s="91" t="s">
        <v>249</v>
      </c>
      <c r="H56" s="91" t="s">
        <v>352</v>
      </c>
      <c r="I56" s="91" t="s">
        <v>698</v>
      </c>
      <c r="J56" s="91" t="s">
        <v>699</v>
      </c>
      <c r="K56" s="90" t="s">
        <v>39</v>
      </c>
    </row>
    <row r="57" spans="1:11" s="19" customFormat="1" ht="29.25" customHeight="1" x14ac:dyDescent="0.3">
      <c r="A57" s="87">
        <v>27</v>
      </c>
      <c r="B57" s="90" t="s">
        <v>412</v>
      </c>
      <c r="C57" s="90" t="s">
        <v>171</v>
      </c>
      <c r="D57" s="90"/>
      <c r="E57" s="91" t="s">
        <v>13</v>
      </c>
      <c r="F57" s="91"/>
      <c r="G57" s="91" t="s">
        <v>248</v>
      </c>
      <c r="H57" s="91" t="s">
        <v>352</v>
      </c>
      <c r="I57" s="90"/>
      <c r="J57" s="90" t="s">
        <v>704</v>
      </c>
      <c r="K57" s="90" t="s">
        <v>39</v>
      </c>
    </row>
    <row r="58" spans="1:11" s="21" customFormat="1" ht="29.25" customHeight="1" x14ac:dyDescent="0.3">
      <c r="A58" s="87">
        <v>28</v>
      </c>
      <c r="B58" s="91" t="s">
        <v>705</v>
      </c>
      <c r="C58" s="91" t="s">
        <v>706</v>
      </c>
      <c r="D58" s="91"/>
      <c r="E58" s="91" t="s">
        <v>13</v>
      </c>
      <c r="F58" s="91"/>
      <c r="G58" s="91" t="s">
        <v>248</v>
      </c>
      <c r="H58" s="91" t="s">
        <v>352</v>
      </c>
      <c r="I58" s="90"/>
      <c r="J58" s="91">
        <v>4.5</v>
      </c>
      <c r="K58" s="91" t="s">
        <v>707</v>
      </c>
    </row>
    <row r="59" spans="1:11" s="19" customFormat="1" ht="29.25" customHeight="1" x14ac:dyDescent="0.3">
      <c r="A59" s="87">
        <v>29</v>
      </c>
      <c r="B59" s="90" t="s">
        <v>708</v>
      </c>
      <c r="C59" s="90" t="s">
        <v>1106</v>
      </c>
      <c r="D59" s="90"/>
      <c r="E59" s="91" t="s">
        <v>13</v>
      </c>
      <c r="F59" s="91"/>
      <c r="G59" s="91" t="s">
        <v>248</v>
      </c>
      <c r="H59" s="91" t="s">
        <v>352</v>
      </c>
      <c r="I59" s="90"/>
      <c r="J59" s="90" t="s">
        <v>704</v>
      </c>
      <c r="K59" s="90" t="s">
        <v>39</v>
      </c>
    </row>
    <row r="60" spans="1:11" x14ac:dyDescent="0.3">
      <c r="A60" s="2" t="s">
        <v>1124</v>
      </c>
    </row>
    <row r="61" spans="1:11" x14ac:dyDescent="0.3">
      <c r="A61" s="73" t="s">
        <v>1128</v>
      </c>
    </row>
  </sheetData>
  <mergeCells count="9">
    <mergeCell ref="A1:K1"/>
    <mergeCell ref="A2:K2"/>
    <mergeCell ref="A4:A5"/>
    <mergeCell ref="B4:B5"/>
    <mergeCell ref="E4:E5"/>
    <mergeCell ref="H4:J4"/>
    <mergeCell ref="K4:K5"/>
    <mergeCell ref="C4:D4"/>
    <mergeCell ref="F4:G4"/>
  </mergeCells>
  <pageMargins left="0.7" right="0.7" top="0.75" bottom="0.75" header="0.3" footer="0.3"/>
  <pageSetup paperSize="9" scale="81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3"/>
  <sheetViews>
    <sheetView view="pageBreakPreview" zoomScaleNormal="100" zoomScaleSheetLayoutView="100" workbookViewId="0">
      <pane ySplit="5" topLeftCell="A6" activePane="bottomLeft" state="frozen"/>
      <selection pane="bottomLeft" activeCell="C19" sqref="C19"/>
    </sheetView>
  </sheetViews>
  <sheetFormatPr defaultColWidth="9" defaultRowHeight="15.6" x14ac:dyDescent="0.3"/>
  <cols>
    <col min="1" max="1" width="7.8984375" style="2" customWidth="1"/>
    <col min="2" max="2" width="18.69921875" style="2" customWidth="1"/>
    <col min="3" max="3" width="14.5" style="2" customWidth="1"/>
    <col min="4" max="4" width="10.8984375" style="2" customWidth="1"/>
    <col min="5" max="5" width="21" style="2" customWidth="1"/>
    <col min="6" max="6" width="15.09765625" style="2" customWidth="1"/>
    <col min="7" max="7" width="13.3984375" style="2" customWidth="1"/>
    <col min="8" max="8" width="14" style="2" customWidth="1"/>
    <col min="9" max="9" width="19.5" style="2" customWidth="1"/>
    <col min="10" max="16384" width="9" style="2"/>
  </cols>
  <sheetData>
    <row r="1" spans="1:9" ht="21" customHeight="1" x14ac:dyDescent="0.3">
      <c r="A1" s="207" t="s">
        <v>844</v>
      </c>
      <c r="B1" s="207"/>
      <c r="C1" s="207"/>
      <c r="D1" s="207"/>
      <c r="E1" s="207"/>
      <c r="F1" s="207"/>
      <c r="G1" s="207"/>
      <c r="H1" s="207"/>
      <c r="I1" s="207"/>
    </row>
    <row r="2" spans="1:9" x14ac:dyDescent="0.3">
      <c r="A2" s="208" t="e">
        <f>'Phụ Lục 1'!#REF!</f>
        <v>#REF!</v>
      </c>
      <c r="B2" s="208"/>
      <c r="C2" s="208"/>
      <c r="D2" s="208"/>
      <c r="E2" s="208"/>
      <c r="F2" s="208"/>
      <c r="G2" s="208"/>
      <c r="H2" s="208"/>
      <c r="I2" s="208"/>
    </row>
    <row r="4" spans="1:9" ht="16.5" customHeight="1" x14ac:dyDescent="0.3">
      <c r="A4" s="209" t="s">
        <v>0</v>
      </c>
      <c r="B4" s="209" t="s">
        <v>2</v>
      </c>
      <c r="C4" s="209" t="s">
        <v>3</v>
      </c>
      <c r="D4" s="209" t="s">
        <v>4</v>
      </c>
      <c r="E4" s="209" t="s">
        <v>8</v>
      </c>
      <c r="F4" s="209"/>
      <c r="G4" s="209"/>
      <c r="H4" s="209"/>
      <c r="I4" s="209" t="s">
        <v>1</v>
      </c>
    </row>
    <row r="5" spans="1:9" ht="82.5" customHeight="1" x14ac:dyDescent="0.3">
      <c r="A5" s="209"/>
      <c r="B5" s="209"/>
      <c r="C5" s="209"/>
      <c r="D5" s="209"/>
      <c r="E5" s="33" t="s">
        <v>9</v>
      </c>
      <c r="F5" s="33" t="s">
        <v>10</v>
      </c>
      <c r="G5" s="33" t="s">
        <v>356</v>
      </c>
      <c r="H5" s="33" t="s">
        <v>1078</v>
      </c>
      <c r="I5" s="209"/>
    </row>
    <row r="6" spans="1:9" x14ac:dyDescent="0.3">
      <c r="A6" s="26">
        <v>-1</v>
      </c>
      <c r="B6" s="26">
        <v>-2</v>
      </c>
      <c r="C6" s="26">
        <v>-3</v>
      </c>
      <c r="D6" s="26">
        <v>-4</v>
      </c>
      <c r="E6" s="26">
        <v>-5</v>
      </c>
      <c r="F6" s="26">
        <v>-6</v>
      </c>
      <c r="G6" s="26">
        <v>-7</v>
      </c>
      <c r="H6" s="26">
        <v>-8</v>
      </c>
      <c r="I6" s="26">
        <v>-9</v>
      </c>
    </row>
    <row r="7" spans="1:9" s="64" customFormat="1" ht="22.5" customHeight="1" x14ac:dyDescent="0.3">
      <c r="A7" s="62" t="s">
        <v>245</v>
      </c>
      <c r="B7" s="210" t="s">
        <v>565</v>
      </c>
      <c r="C7" s="210"/>
      <c r="D7" s="63"/>
      <c r="E7" s="63"/>
      <c r="F7" s="63"/>
      <c r="G7" s="63">
        <f>COUNTA(G35+G38+G44+G45+G46+G47+G49+SUM(G85:G90)+SUM(G92:G94)+G97+G100+G102+G104+G107+G112)</f>
        <v>1</v>
      </c>
      <c r="H7" s="62">
        <f>COUNTA(H8:H189)</f>
        <v>101</v>
      </c>
      <c r="I7" s="63"/>
    </row>
    <row r="8" spans="1:9" s="29" customFormat="1" ht="22.5" customHeight="1" x14ac:dyDescent="0.3">
      <c r="A8" s="6">
        <v>1</v>
      </c>
      <c r="B8" s="6" t="s">
        <v>971</v>
      </c>
      <c r="C8" s="6" t="s">
        <v>982</v>
      </c>
      <c r="D8" s="4" t="s">
        <v>13</v>
      </c>
      <c r="E8" s="6" t="s">
        <v>983</v>
      </c>
      <c r="F8" s="6" t="s">
        <v>71</v>
      </c>
      <c r="G8" s="6" t="s">
        <v>577</v>
      </c>
      <c r="H8" s="34">
        <v>11</v>
      </c>
      <c r="I8" s="35"/>
    </row>
    <row r="9" spans="1:9" s="29" customFormat="1" ht="22.5" customHeight="1" x14ac:dyDescent="0.3">
      <c r="A9" s="6">
        <v>2</v>
      </c>
      <c r="B9" s="6" t="s">
        <v>971</v>
      </c>
      <c r="C9" s="6" t="s">
        <v>984</v>
      </c>
      <c r="D9" s="4" t="s">
        <v>13</v>
      </c>
      <c r="E9" s="6" t="s">
        <v>985</v>
      </c>
      <c r="F9" s="6" t="s">
        <v>71</v>
      </c>
      <c r="G9" s="6" t="s">
        <v>577</v>
      </c>
      <c r="H9" s="34">
        <v>11</v>
      </c>
      <c r="I9" s="35"/>
    </row>
    <row r="10" spans="1:9" s="29" customFormat="1" ht="22.5" customHeight="1" x14ac:dyDescent="0.3">
      <c r="A10" s="6">
        <v>3</v>
      </c>
      <c r="B10" s="6" t="s">
        <v>971</v>
      </c>
      <c r="C10" s="6" t="s">
        <v>986</v>
      </c>
      <c r="D10" s="4" t="s">
        <v>13</v>
      </c>
      <c r="E10" s="6" t="s">
        <v>987</v>
      </c>
      <c r="F10" s="6" t="s">
        <v>71</v>
      </c>
      <c r="G10" s="6" t="s">
        <v>577</v>
      </c>
      <c r="H10" s="34">
        <v>6</v>
      </c>
      <c r="I10" s="35"/>
    </row>
    <row r="11" spans="1:9" s="29" customFormat="1" ht="22.5" customHeight="1" x14ac:dyDescent="0.3">
      <c r="A11" s="6">
        <v>4</v>
      </c>
      <c r="B11" s="6" t="s">
        <v>971</v>
      </c>
      <c r="C11" s="6" t="s">
        <v>988</v>
      </c>
      <c r="D11" s="4" t="s">
        <v>13</v>
      </c>
      <c r="E11" s="6" t="s">
        <v>989</v>
      </c>
      <c r="F11" s="6" t="s">
        <v>71</v>
      </c>
      <c r="G11" s="6" t="s">
        <v>577</v>
      </c>
      <c r="H11" s="34">
        <v>7</v>
      </c>
      <c r="I11" s="35"/>
    </row>
    <row r="12" spans="1:9" s="29" customFormat="1" ht="22.5" customHeight="1" x14ac:dyDescent="0.3">
      <c r="A12" s="6">
        <v>5</v>
      </c>
      <c r="B12" s="6" t="s">
        <v>971</v>
      </c>
      <c r="C12" s="6" t="s">
        <v>990</v>
      </c>
      <c r="D12" s="4" t="s">
        <v>13</v>
      </c>
      <c r="E12" s="6" t="s">
        <v>991</v>
      </c>
      <c r="F12" s="6" t="s">
        <v>71</v>
      </c>
      <c r="G12" s="6" t="s">
        <v>577</v>
      </c>
      <c r="H12" s="34">
        <v>7.5</v>
      </c>
      <c r="I12" s="35"/>
    </row>
    <row r="13" spans="1:9" s="29" customFormat="1" ht="22.5" customHeight="1" x14ac:dyDescent="0.3">
      <c r="A13" s="6">
        <v>6</v>
      </c>
      <c r="B13" s="6" t="s">
        <v>971</v>
      </c>
      <c r="C13" s="6" t="s">
        <v>992</v>
      </c>
      <c r="D13" s="4" t="s">
        <v>13</v>
      </c>
      <c r="E13" s="6" t="s">
        <v>993</v>
      </c>
      <c r="F13" s="6" t="s">
        <v>71</v>
      </c>
      <c r="G13" s="6" t="s">
        <v>577</v>
      </c>
      <c r="H13" s="34">
        <v>7.5</v>
      </c>
      <c r="I13" s="35"/>
    </row>
    <row r="14" spans="1:9" s="29" customFormat="1" ht="22.5" customHeight="1" x14ac:dyDescent="0.3">
      <c r="A14" s="6">
        <v>7</v>
      </c>
      <c r="B14" s="6" t="s">
        <v>971</v>
      </c>
      <c r="C14" s="6" t="s">
        <v>994</v>
      </c>
      <c r="D14" s="4" t="s">
        <v>13</v>
      </c>
      <c r="E14" s="6" t="s">
        <v>995</v>
      </c>
      <c r="F14" s="6" t="s">
        <v>71</v>
      </c>
      <c r="G14" s="6" t="s">
        <v>577</v>
      </c>
      <c r="H14" s="34">
        <v>6</v>
      </c>
      <c r="I14" s="35"/>
    </row>
    <row r="15" spans="1:9" s="29" customFormat="1" ht="22.5" customHeight="1" x14ac:dyDescent="0.3">
      <c r="A15" s="6">
        <v>8</v>
      </c>
      <c r="B15" s="6" t="s">
        <v>971</v>
      </c>
      <c r="C15" s="6" t="s">
        <v>996</v>
      </c>
      <c r="D15" s="4" t="s">
        <v>13</v>
      </c>
      <c r="E15" s="6" t="s">
        <v>997</v>
      </c>
      <c r="F15" s="6" t="s">
        <v>71</v>
      </c>
      <c r="G15" s="6" t="s">
        <v>577</v>
      </c>
      <c r="H15" s="34">
        <v>6</v>
      </c>
      <c r="I15" s="35"/>
    </row>
    <row r="16" spans="1:9" ht="22.5" customHeight="1" x14ac:dyDescent="0.3">
      <c r="A16" s="6">
        <v>9</v>
      </c>
      <c r="B16" s="6" t="s">
        <v>1028</v>
      </c>
      <c r="C16" s="20" t="s">
        <v>1037</v>
      </c>
      <c r="D16" s="4" t="s">
        <v>13</v>
      </c>
      <c r="E16" s="20" t="s">
        <v>1038</v>
      </c>
      <c r="F16" s="3" t="s">
        <v>71</v>
      </c>
      <c r="G16" s="4" t="s">
        <v>577</v>
      </c>
      <c r="H16" s="23">
        <v>10</v>
      </c>
      <c r="I16" s="36"/>
    </row>
    <row r="17" spans="1:9" ht="22.5" customHeight="1" x14ac:dyDescent="0.3">
      <c r="A17" s="6">
        <v>10</v>
      </c>
      <c r="B17" s="6" t="s">
        <v>1028</v>
      </c>
      <c r="C17" s="20" t="s">
        <v>1039</v>
      </c>
      <c r="D17" s="4" t="s">
        <v>13</v>
      </c>
      <c r="E17" s="20" t="s">
        <v>1040</v>
      </c>
      <c r="F17" s="3" t="s">
        <v>71</v>
      </c>
      <c r="G17" s="4" t="s">
        <v>577</v>
      </c>
      <c r="H17" s="23">
        <v>6.5</v>
      </c>
      <c r="I17" s="36"/>
    </row>
    <row r="18" spans="1:9" ht="22.5" customHeight="1" x14ac:dyDescent="0.3">
      <c r="A18" s="6">
        <v>11</v>
      </c>
      <c r="B18" s="6" t="s">
        <v>1028</v>
      </c>
      <c r="C18" s="20" t="s">
        <v>1041</v>
      </c>
      <c r="D18" s="4" t="s">
        <v>13</v>
      </c>
      <c r="E18" s="20" t="s">
        <v>1042</v>
      </c>
      <c r="F18" s="20" t="s">
        <v>1043</v>
      </c>
      <c r="G18" s="4" t="s">
        <v>577</v>
      </c>
      <c r="H18" s="23">
        <v>7</v>
      </c>
      <c r="I18" s="36"/>
    </row>
    <row r="19" spans="1:9" ht="22.5" customHeight="1" x14ac:dyDescent="0.3">
      <c r="A19" s="6">
        <v>12</v>
      </c>
      <c r="B19" s="6" t="s">
        <v>1028</v>
      </c>
      <c r="C19" s="20" t="s">
        <v>1044</v>
      </c>
      <c r="D19" s="4" t="s">
        <v>13</v>
      </c>
      <c r="E19" s="20" t="s">
        <v>1045</v>
      </c>
      <c r="F19" s="3" t="s">
        <v>1046</v>
      </c>
      <c r="G19" s="4" t="s">
        <v>577</v>
      </c>
      <c r="H19" s="23">
        <v>7</v>
      </c>
      <c r="I19" s="36"/>
    </row>
    <row r="20" spans="1:9" ht="22.5" customHeight="1" x14ac:dyDescent="0.3">
      <c r="A20" s="6">
        <v>13</v>
      </c>
      <c r="B20" s="6" t="s">
        <v>1028</v>
      </c>
      <c r="C20" s="20" t="s">
        <v>1047</v>
      </c>
      <c r="D20" s="4" t="s">
        <v>13</v>
      </c>
      <c r="E20" s="20" t="s">
        <v>1048</v>
      </c>
      <c r="F20" s="3" t="s">
        <v>71</v>
      </c>
      <c r="G20" s="4" t="s">
        <v>577</v>
      </c>
      <c r="H20" s="23">
        <v>7</v>
      </c>
      <c r="I20" s="36"/>
    </row>
    <row r="21" spans="1:9" ht="22.5" customHeight="1" x14ac:dyDescent="0.3">
      <c r="A21" s="6">
        <v>14</v>
      </c>
      <c r="B21" s="6" t="s">
        <v>1028</v>
      </c>
      <c r="C21" s="20" t="s">
        <v>1049</v>
      </c>
      <c r="D21" s="4" t="s">
        <v>13</v>
      </c>
      <c r="E21" s="20" t="s">
        <v>68</v>
      </c>
      <c r="F21" s="3" t="s">
        <v>71</v>
      </c>
      <c r="G21" s="4" t="s">
        <v>577</v>
      </c>
      <c r="H21" s="23">
        <v>7.3</v>
      </c>
      <c r="I21" s="36"/>
    </row>
    <row r="22" spans="1:9" ht="22.5" customHeight="1" x14ac:dyDescent="0.3">
      <c r="A22" s="6">
        <v>15</v>
      </c>
      <c r="B22" s="6" t="s">
        <v>1028</v>
      </c>
      <c r="C22" s="20" t="s">
        <v>1050</v>
      </c>
      <c r="D22" s="4" t="s">
        <v>13</v>
      </c>
      <c r="E22" s="20" t="s">
        <v>1051</v>
      </c>
      <c r="F22" s="3" t="s">
        <v>71</v>
      </c>
      <c r="G22" s="4" t="s">
        <v>577</v>
      </c>
      <c r="H22" s="23">
        <v>7</v>
      </c>
      <c r="I22" s="36"/>
    </row>
    <row r="23" spans="1:9" ht="22.5" customHeight="1" x14ac:dyDescent="0.3">
      <c r="A23" s="6">
        <v>16</v>
      </c>
      <c r="B23" s="6" t="s">
        <v>1028</v>
      </c>
      <c r="C23" s="20" t="s">
        <v>1052</v>
      </c>
      <c r="D23" s="4" t="s">
        <v>13</v>
      </c>
      <c r="E23" s="20" t="s">
        <v>1053</v>
      </c>
      <c r="F23" s="3" t="s">
        <v>58</v>
      </c>
      <c r="G23" s="4" t="s">
        <v>577</v>
      </c>
      <c r="H23" s="23">
        <v>15</v>
      </c>
      <c r="I23" s="36"/>
    </row>
    <row r="24" spans="1:9" ht="22.5" customHeight="1" x14ac:dyDescent="0.3">
      <c r="A24" s="6">
        <v>17</v>
      </c>
      <c r="B24" s="6" t="s">
        <v>1028</v>
      </c>
      <c r="C24" s="20" t="s">
        <v>1054</v>
      </c>
      <c r="D24" s="4" t="s">
        <v>13</v>
      </c>
      <c r="E24" s="20" t="s">
        <v>1055</v>
      </c>
      <c r="F24" s="3" t="s">
        <v>71</v>
      </c>
      <c r="G24" s="4" t="s">
        <v>577</v>
      </c>
      <c r="H24" s="23">
        <v>7</v>
      </c>
      <c r="I24" s="36"/>
    </row>
    <row r="25" spans="1:9" ht="22.5" customHeight="1" x14ac:dyDescent="0.3">
      <c r="A25" s="6">
        <v>18</v>
      </c>
      <c r="B25" s="6" t="s">
        <v>1028</v>
      </c>
      <c r="C25" s="20" t="s">
        <v>1056</v>
      </c>
      <c r="D25" s="4" t="s">
        <v>13</v>
      </c>
      <c r="E25" s="20" t="s">
        <v>1057</v>
      </c>
      <c r="F25" s="20" t="s">
        <v>1043</v>
      </c>
      <c r="G25" s="4" t="s">
        <v>577</v>
      </c>
      <c r="H25" s="23">
        <v>7</v>
      </c>
      <c r="I25" s="36"/>
    </row>
    <row r="26" spans="1:9" ht="22.5" customHeight="1" x14ac:dyDescent="0.3">
      <c r="A26" s="6">
        <v>19</v>
      </c>
      <c r="B26" s="6" t="s">
        <v>1028</v>
      </c>
      <c r="C26" s="20" t="s">
        <v>1058</v>
      </c>
      <c r="D26" s="4" t="s">
        <v>13</v>
      </c>
      <c r="E26" s="20" t="s">
        <v>1059</v>
      </c>
      <c r="F26" s="3" t="s">
        <v>71</v>
      </c>
      <c r="G26" s="4" t="s">
        <v>577</v>
      </c>
      <c r="H26" s="23">
        <v>7</v>
      </c>
      <c r="I26" s="36"/>
    </row>
    <row r="27" spans="1:9" ht="22.5" customHeight="1" x14ac:dyDescent="0.3">
      <c r="A27" s="6">
        <v>20</v>
      </c>
      <c r="B27" s="6" t="s">
        <v>1028</v>
      </c>
      <c r="C27" s="20" t="s">
        <v>1060</v>
      </c>
      <c r="D27" s="4" t="s">
        <v>13</v>
      </c>
      <c r="E27" s="20" t="s">
        <v>1061</v>
      </c>
      <c r="F27" s="3" t="s">
        <v>71</v>
      </c>
      <c r="G27" s="4" t="s">
        <v>577</v>
      </c>
      <c r="H27" s="23">
        <v>7</v>
      </c>
      <c r="I27" s="36"/>
    </row>
    <row r="28" spans="1:9" ht="22.5" customHeight="1" x14ac:dyDescent="0.3">
      <c r="A28" s="6">
        <v>21</v>
      </c>
      <c r="B28" s="6" t="s">
        <v>1028</v>
      </c>
      <c r="C28" s="20" t="s">
        <v>1062</v>
      </c>
      <c r="D28" s="4" t="s">
        <v>13</v>
      </c>
      <c r="E28" s="20" t="s">
        <v>1063</v>
      </c>
      <c r="F28" s="3" t="s">
        <v>71</v>
      </c>
      <c r="G28" s="4" t="s">
        <v>577</v>
      </c>
      <c r="H28" s="23">
        <v>7.4</v>
      </c>
      <c r="I28" s="36"/>
    </row>
    <row r="29" spans="1:9" s="28" customFormat="1" ht="22.5" customHeight="1" x14ac:dyDescent="0.3">
      <c r="A29" s="6">
        <v>22</v>
      </c>
      <c r="B29" s="54" t="s">
        <v>1029</v>
      </c>
      <c r="C29" s="50" t="s">
        <v>1113</v>
      </c>
      <c r="D29" s="54" t="s">
        <v>13</v>
      </c>
      <c r="E29" s="57" t="s">
        <v>1119</v>
      </c>
      <c r="F29" s="54" t="s">
        <v>58</v>
      </c>
      <c r="G29" s="54" t="s">
        <v>577</v>
      </c>
      <c r="H29" s="52">
        <v>11</v>
      </c>
      <c r="I29" s="54"/>
    </row>
    <row r="30" spans="1:9" ht="22.5" customHeight="1" x14ac:dyDescent="0.3">
      <c r="A30" s="6">
        <v>23</v>
      </c>
      <c r="B30" s="54" t="s">
        <v>1029</v>
      </c>
      <c r="C30" s="67">
        <v>17800</v>
      </c>
      <c r="D30" s="54" t="s">
        <v>13</v>
      </c>
      <c r="E30" s="66" t="s">
        <v>68</v>
      </c>
      <c r="F30" s="68" t="s">
        <v>49</v>
      </c>
      <c r="G30" s="54" t="s">
        <v>577</v>
      </c>
      <c r="H30" s="66">
        <v>9</v>
      </c>
      <c r="I30" s="36"/>
    </row>
    <row r="31" spans="1:9" ht="22.5" customHeight="1" x14ac:dyDescent="0.3">
      <c r="A31" s="6">
        <v>24</v>
      </c>
      <c r="B31" s="54" t="s">
        <v>1029</v>
      </c>
      <c r="C31" s="67">
        <v>17370</v>
      </c>
      <c r="D31" s="54" t="s">
        <v>13</v>
      </c>
      <c r="E31" s="66" t="s">
        <v>68</v>
      </c>
      <c r="F31" s="68" t="s">
        <v>49</v>
      </c>
      <c r="G31" s="54" t="s">
        <v>577</v>
      </c>
      <c r="H31" s="66">
        <v>9</v>
      </c>
      <c r="I31" s="36"/>
    </row>
    <row r="32" spans="1:9" s="30" customFormat="1" ht="22.5" customHeight="1" x14ac:dyDescent="0.3">
      <c r="A32" s="6">
        <v>25</v>
      </c>
      <c r="B32" s="54" t="s">
        <v>1029</v>
      </c>
      <c r="C32" s="37">
        <v>25700</v>
      </c>
      <c r="D32" s="17" t="s">
        <v>13</v>
      </c>
      <c r="E32" s="38" t="s">
        <v>1085</v>
      </c>
      <c r="F32" s="38" t="s">
        <v>71</v>
      </c>
      <c r="G32" s="39" t="s">
        <v>577</v>
      </c>
      <c r="H32" s="17">
        <v>7</v>
      </c>
      <c r="I32" s="17"/>
    </row>
    <row r="33" spans="1:9" s="30" customFormat="1" ht="22.5" customHeight="1" x14ac:dyDescent="0.3">
      <c r="A33" s="6">
        <v>26</v>
      </c>
      <c r="B33" s="54" t="s">
        <v>1029</v>
      </c>
      <c r="C33" s="37">
        <v>29800</v>
      </c>
      <c r="D33" s="17" t="s">
        <v>13</v>
      </c>
      <c r="E33" s="38" t="s">
        <v>1086</v>
      </c>
      <c r="F33" s="38" t="s">
        <v>71</v>
      </c>
      <c r="G33" s="39" t="s">
        <v>577</v>
      </c>
      <c r="H33" s="17">
        <v>6</v>
      </c>
      <c r="I33" s="17"/>
    </row>
    <row r="34" spans="1:9" s="30" customFormat="1" ht="22.5" customHeight="1" x14ac:dyDescent="0.3">
      <c r="A34" s="6">
        <v>27</v>
      </c>
      <c r="B34" s="54" t="s">
        <v>1029</v>
      </c>
      <c r="C34" s="37">
        <v>34060</v>
      </c>
      <c r="D34" s="17" t="s">
        <v>13</v>
      </c>
      <c r="E34" s="38" t="s">
        <v>124</v>
      </c>
      <c r="F34" s="38" t="s">
        <v>58</v>
      </c>
      <c r="G34" s="39" t="s">
        <v>577</v>
      </c>
      <c r="H34" s="17">
        <v>7.5</v>
      </c>
      <c r="I34" s="41"/>
    </row>
    <row r="35" spans="1:9" s="30" customFormat="1" ht="22.5" customHeight="1" x14ac:dyDescent="0.3">
      <c r="A35" s="6">
        <v>28</v>
      </c>
      <c r="B35" s="54" t="s">
        <v>1029</v>
      </c>
      <c r="C35" s="20" t="s">
        <v>949</v>
      </c>
      <c r="D35" s="17" t="s">
        <v>13</v>
      </c>
      <c r="E35" s="20" t="s">
        <v>950</v>
      </c>
      <c r="F35" s="40" t="s">
        <v>58</v>
      </c>
      <c r="G35" s="17">
        <v>25</v>
      </c>
      <c r="H35" s="17">
        <v>8</v>
      </c>
      <c r="I35" s="41" t="s">
        <v>951</v>
      </c>
    </row>
    <row r="36" spans="1:9" s="30" customFormat="1" ht="22.5" customHeight="1" x14ac:dyDescent="0.3">
      <c r="A36" s="6">
        <v>29</v>
      </c>
      <c r="B36" s="54" t="s">
        <v>1029</v>
      </c>
      <c r="C36" s="20" t="s">
        <v>952</v>
      </c>
      <c r="D36" s="17" t="s">
        <v>13</v>
      </c>
      <c r="E36" s="20" t="s">
        <v>953</v>
      </c>
      <c r="F36" s="40" t="s">
        <v>58</v>
      </c>
      <c r="G36" s="17" t="s">
        <v>577</v>
      </c>
      <c r="H36" s="17">
        <v>12</v>
      </c>
      <c r="I36" s="18" t="s">
        <v>954</v>
      </c>
    </row>
    <row r="37" spans="1:9" s="30" customFormat="1" ht="22.5" customHeight="1" x14ac:dyDescent="0.3">
      <c r="A37" s="6">
        <v>30</v>
      </c>
      <c r="B37" s="54" t="s">
        <v>1029</v>
      </c>
      <c r="C37" s="20" t="s">
        <v>955</v>
      </c>
      <c r="D37" s="17" t="s">
        <v>13</v>
      </c>
      <c r="E37" s="20" t="s">
        <v>956</v>
      </c>
      <c r="F37" s="40" t="s">
        <v>58</v>
      </c>
      <c r="G37" s="17" t="s">
        <v>577</v>
      </c>
      <c r="H37" s="17">
        <v>11</v>
      </c>
      <c r="I37" s="41"/>
    </row>
    <row r="38" spans="1:9" s="30" customFormat="1" ht="22.5" customHeight="1" x14ac:dyDescent="0.3">
      <c r="A38" s="6">
        <v>31</v>
      </c>
      <c r="B38" s="54" t="s">
        <v>1029</v>
      </c>
      <c r="C38" s="20" t="s">
        <v>957</v>
      </c>
      <c r="D38" s="17" t="s">
        <v>13</v>
      </c>
      <c r="E38" s="20" t="s">
        <v>958</v>
      </c>
      <c r="F38" s="40" t="s">
        <v>58</v>
      </c>
      <c r="G38" s="17">
        <v>25</v>
      </c>
      <c r="H38" s="17">
        <v>8</v>
      </c>
      <c r="I38" s="41"/>
    </row>
    <row r="39" spans="1:9" s="30" customFormat="1" ht="22.5" customHeight="1" x14ac:dyDescent="0.3">
      <c r="A39" s="6">
        <v>32</v>
      </c>
      <c r="B39" s="54" t="s">
        <v>1029</v>
      </c>
      <c r="C39" s="20" t="s">
        <v>959</v>
      </c>
      <c r="D39" s="17" t="s">
        <v>13</v>
      </c>
      <c r="E39" s="20" t="s">
        <v>960</v>
      </c>
      <c r="F39" s="40" t="s">
        <v>58</v>
      </c>
      <c r="G39" s="17" t="s">
        <v>577</v>
      </c>
      <c r="H39" s="17">
        <v>9</v>
      </c>
      <c r="I39" s="18" t="s">
        <v>954</v>
      </c>
    </row>
    <row r="40" spans="1:9" s="30" customFormat="1" ht="22.5" customHeight="1" x14ac:dyDescent="0.3">
      <c r="A40" s="6">
        <v>33</v>
      </c>
      <c r="B40" s="54" t="s">
        <v>1029</v>
      </c>
      <c r="C40" s="20" t="s">
        <v>961</v>
      </c>
      <c r="D40" s="17" t="s">
        <v>13</v>
      </c>
      <c r="E40" s="20" t="s">
        <v>962</v>
      </c>
      <c r="F40" s="40" t="s">
        <v>58</v>
      </c>
      <c r="G40" s="17" t="s">
        <v>577</v>
      </c>
      <c r="H40" s="17">
        <v>8</v>
      </c>
      <c r="I40" s="41" t="s">
        <v>963</v>
      </c>
    </row>
    <row r="41" spans="1:9" s="30" customFormat="1" ht="22.5" customHeight="1" x14ac:dyDescent="0.3">
      <c r="A41" s="6">
        <v>34</v>
      </c>
      <c r="B41" s="54" t="s">
        <v>1029</v>
      </c>
      <c r="C41" s="20" t="s">
        <v>964</v>
      </c>
      <c r="D41" s="17" t="s">
        <v>13</v>
      </c>
      <c r="E41" s="20" t="s">
        <v>965</v>
      </c>
      <c r="F41" s="17" t="s">
        <v>657</v>
      </c>
      <c r="G41" s="17" t="s">
        <v>577</v>
      </c>
      <c r="H41" s="17" t="s">
        <v>1077</v>
      </c>
      <c r="I41" s="41"/>
    </row>
    <row r="42" spans="1:9" s="30" customFormat="1" ht="22.5" customHeight="1" x14ac:dyDescent="0.3">
      <c r="A42" s="6">
        <v>35</v>
      </c>
      <c r="B42" s="54" t="s">
        <v>1029</v>
      </c>
      <c r="C42" s="20" t="s">
        <v>966</v>
      </c>
      <c r="D42" s="17" t="s">
        <v>13</v>
      </c>
      <c r="E42" s="20" t="s">
        <v>967</v>
      </c>
      <c r="F42" s="17" t="s">
        <v>657</v>
      </c>
      <c r="G42" s="17" t="s">
        <v>577</v>
      </c>
      <c r="H42" s="17" t="s">
        <v>1077</v>
      </c>
      <c r="I42" s="41"/>
    </row>
    <row r="43" spans="1:9" s="30" customFormat="1" ht="22.5" customHeight="1" x14ac:dyDescent="0.3">
      <c r="A43" s="6">
        <v>36</v>
      </c>
      <c r="B43" s="54" t="s">
        <v>1029</v>
      </c>
      <c r="C43" s="20" t="s">
        <v>968</v>
      </c>
      <c r="D43" s="17" t="s">
        <v>13</v>
      </c>
      <c r="E43" s="20" t="s">
        <v>969</v>
      </c>
      <c r="F43" s="17" t="s">
        <v>970</v>
      </c>
      <c r="G43" s="17" t="s">
        <v>577</v>
      </c>
      <c r="H43" s="17">
        <v>9</v>
      </c>
      <c r="I43" s="41"/>
    </row>
    <row r="44" spans="1:9" s="30" customFormat="1" ht="22.5" customHeight="1" x14ac:dyDescent="0.3">
      <c r="A44" s="6">
        <v>37</v>
      </c>
      <c r="B44" s="54" t="s">
        <v>1029</v>
      </c>
      <c r="C44" s="20" t="s">
        <v>1114</v>
      </c>
      <c r="D44" s="17" t="s">
        <v>13</v>
      </c>
      <c r="E44" s="20" t="s">
        <v>1115</v>
      </c>
      <c r="F44" s="69" t="s">
        <v>49</v>
      </c>
      <c r="G44" s="17">
        <v>7</v>
      </c>
      <c r="H44" s="17">
        <v>7</v>
      </c>
      <c r="I44" s="17" t="s">
        <v>1116</v>
      </c>
    </row>
    <row r="45" spans="1:9" s="30" customFormat="1" ht="22.5" customHeight="1" x14ac:dyDescent="0.3">
      <c r="A45" s="6">
        <v>38</v>
      </c>
      <c r="B45" s="54" t="s">
        <v>1029</v>
      </c>
      <c r="C45" s="37">
        <v>85667</v>
      </c>
      <c r="D45" s="17" t="s">
        <v>13</v>
      </c>
      <c r="E45" s="38" t="s">
        <v>1087</v>
      </c>
      <c r="F45" s="38" t="s">
        <v>71</v>
      </c>
      <c r="G45" s="38">
        <v>12</v>
      </c>
      <c r="H45" s="17">
        <v>12</v>
      </c>
      <c r="I45" s="17" t="s">
        <v>1097</v>
      </c>
    </row>
    <row r="46" spans="1:9" s="30" customFormat="1" ht="22.5" customHeight="1" x14ac:dyDescent="0.3">
      <c r="A46" s="6">
        <v>39</v>
      </c>
      <c r="B46" s="17" t="s">
        <v>1084</v>
      </c>
      <c r="C46" s="37">
        <v>88767</v>
      </c>
      <c r="D46" s="17" t="s">
        <v>13</v>
      </c>
      <c r="E46" s="38" t="s">
        <v>164</v>
      </c>
      <c r="F46" s="38" t="s">
        <v>1088</v>
      </c>
      <c r="G46" s="38" t="s">
        <v>1089</v>
      </c>
      <c r="H46" s="17">
        <v>7.2</v>
      </c>
      <c r="I46" s="17"/>
    </row>
    <row r="47" spans="1:9" s="30" customFormat="1" ht="22.5" customHeight="1" x14ac:dyDescent="0.3">
      <c r="A47" s="6">
        <v>40</v>
      </c>
      <c r="B47" s="17" t="s">
        <v>1084</v>
      </c>
      <c r="C47" s="37">
        <v>96157</v>
      </c>
      <c r="D47" s="17" t="s">
        <v>13</v>
      </c>
      <c r="E47" s="38" t="s">
        <v>1090</v>
      </c>
      <c r="F47" s="38" t="s">
        <v>1088</v>
      </c>
      <c r="G47" s="38" t="s">
        <v>1089</v>
      </c>
      <c r="H47" s="17">
        <v>6.7</v>
      </c>
      <c r="I47" s="17"/>
    </row>
    <row r="48" spans="1:9" s="30" customFormat="1" ht="22.5" customHeight="1" x14ac:dyDescent="0.3">
      <c r="A48" s="6">
        <v>41</v>
      </c>
      <c r="B48" s="17" t="s">
        <v>1029</v>
      </c>
      <c r="C48" s="37">
        <v>100302</v>
      </c>
      <c r="D48" s="17" t="s">
        <v>13</v>
      </c>
      <c r="E48" s="38" t="s">
        <v>1117</v>
      </c>
      <c r="F48" s="69" t="s">
        <v>1088</v>
      </c>
      <c r="G48" s="38" t="s">
        <v>577</v>
      </c>
      <c r="H48" s="17">
        <v>6.9</v>
      </c>
      <c r="I48" s="17"/>
    </row>
    <row r="49" spans="1:9" s="30" customFormat="1" ht="22.5" customHeight="1" x14ac:dyDescent="0.3">
      <c r="A49" s="6">
        <v>42</v>
      </c>
      <c r="B49" s="17" t="s">
        <v>1084</v>
      </c>
      <c r="C49" s="37">
        <v>100302</v>
      </c>
      <c r="D49" s="17" t="s">
        <v>13</v>
      </c>
      <c r="E49" s="38" t="s">
        <v>1091</v>
      </c>
      <c r="F49" s="38" t="s">
        <v>1088</v>
      </c>
      <c r="G49" s="38" t="s">
        <v>1089</v>
      </c>
      <c r="H49" s="17">
        <v>5.5</v>
      </c>
      <c r="I49" s="17"/>
    </row>
    <row r="50" spans="1:9" s="30" customFormat="1" ht="22.5" customHeight="1" x14ac:dyDescent="0.3">
      <c r="A50" s="6">
        <v>43</v>
      </c>
      <c r="B50" s="17" t="s">
        <v>1029</v>
      </c>
      <c r="C50" s="37">
        <v>103387</v>
      </c>
      <c r="D50" s="17" t="s">
        <v>13</v>
      </c>
      <c r="E50" s="38" t="s">
        <v>68</v>
      </c>
      <c r="F50" s="70" t="s">
        <v>1118</v>
      </c>
      <c r="G50" s="38" t="s">
        <v>577</v>
      </c>
      <c r="H50" s="17">
        <v>6.5</v>
      </c>
      <c r="I50" s="17"/>
    </row>
    <row r="51" spans="1:9" s="30" customFormat="1" ht="22.5" customHeight="1" x14ac:dyDescent="0.3">
      <c r="A51" s="6">
        <v>44</v>
      </c>
      <c r="B51" s="17" t="s">
        <v>1084</v>
      </c>
      <c r="C51" s="37">
        <v>106157</v>
      </c>
      <c r="D51" s="17" t="s">
        <v>13</v>
      </c>
      <c r="E51" s="38" t="s">
        <v>1092</v>
      </c>
      <c r="F51" s="38" t="s">
        <v>71</v>
      </c>
      <c r="G51" s="38" t="s">
        <v>577</v>
      </c>
      <c r="H51" s="17">
        <v>5.5</v>
      </c>
      <c r="I51" s="17"/>
    </row>
    <row r="52" spans="1:9" s="30" customFormat="1" ht="22.5" customHeight="1" x14ac:dyDescent="0.3">
      <c r="A52" s="6">
        <v>45</v>
      </c>
      <c r="B52" s="17" t="s">
        <v>1084</v>
      </c>
      <c r="C52" s="37">
        <v>112000</v>
      </c>
      <c r="D52" s="17" t="s">
        <v>13</v>
      </c>
      <c r="E52" s="38" t="s">
        <v>1093</v>
      </c>
      <c r="F52" s="38" t="s">
        <v>58</v>
      </c>
      <c r="G52" s="38" t="s">
        <v>577</v>
      </c>
      <c r="H52" s="17">
        <v>8</v>
      </c>
      <c r="I52" s="17"/>
    </row>
    <row r="53" spans="1:9" s="30" customFormat="1" ht="22.5" customHeight="1" x14ac:dyDescent="0.3">
      <c r="A53" s="6">
        <v>46</v>
      </c>
      <c r="B53" s="17" t="s">
        <v>1084</v>
      </c>
      <c r="C53" s="37">
        <v>122485</v>
      </c>
      <c r="D53" s="17" t="s">
        <v>13</v>
      </c>
      <c r="E53" s="38" t="s">
        <v>1094</v>
      </c>
      <c r="F53" s="38" t="s">
        <v>58</v>
      </c>
      <c r="G53" s="38" t="s">
        <v>577</v>
      </c>
      <c r="H53" s="17">
        <v>8</v>
      </c>
      <c r="I53" s="17"/>
    </row>
    <row r="54" spans="1:9" s="30" customFormat="1" ht="22.5" customHeight="1" x14ac:dyDescent="0.3">
      <c r="A54" s="6">
        <v>47</v>
      </c>
      <c r="B54" s="17" t="s">
        <v>1084</v>
      </c>
      <c r="C54" s="37">
        <v>124954</v>
      </c>
      <c r="D54" s="17" t="s">
        <v>13</v>
      </c>
      <c r="E54" s="38" t="s">
        <v>1095</v>
      </c>
      <c r="F54" s="38" t="s">
        <v>58</v>
      </c>
      <c r="G54" s="38" t="s">
        <v>577</v>
      </c>
      <c r="H54" s="17">
        <v>8</v>
      </c>
      <c r="I54" s="17"/>
    </row>
    <row r="55" spans="1:9" s="30" customFormat="1" ht="22.5" customHeight="1" x14ac:dyDescent="0.3">
      <c r="A55" s="6">
        <v>48</v>
      </c>
      <c r="B55" s="17" t="s">
        <v>1084</v>
      </c>
      <c r="C55" s="37">
        <v>130414</v>
      </c>
      <c r="D55" s="17" t="s">
        <v>13</v>
      </c>
      <c r="E55" s="38" t="s">
        <v>1096</v>
      </c>
      <c r="F55" s="38" t="s">
        <v>58</v>
      </c>
      <c r="G55" s="38" t="s">
        <v>577</v>
      </c>
      <c r="H55" s="17">
        <v>6.5</v>
      </c>
      <c r="I55" s="17"/>
    </row>
    <row r="56" spans="1:9" ht="22.5" customHeight="1" x14ac:dyDescent="0.3">
      <c r="A56" s="6">
        <v>49</v>
      </c>
      <c r="B56" s="3" t="s">
        <v>851</v>
      </c>
      <c r="C56" s="42">
        <v>38685</v>
      </c>
      <c r="D56" s="4" t="s">
        <v>13</v>
      </c>
      <c r="E56" s="20" t="s">
        <v>998</v>
      </c>
      <c r="F56" s="40" t="s">
        <v>71</v>
      </c>
      <c r="G56" s="4" t="s">
        <v>577</v>
      </c>
      <c r="H56" s="3">
        <v>6</v>
      </c>
      <c r="I56" s="43"/>
    </row>
    <row r="57" spans="1:9" ht="22.5" customHeight="1" x14ac:dyDescent="0.3">
      <c r="A57" s="6">
        <v>50</v>
      </c>
      <c r="B57" s="3" t="s">
        <v>851</v>
      </c>
      <c r="C57" s="42">
        <v>40410</v>
      </c>
      <c r="D57" s="4" t="s">
        <v>13</v>
      </c>
      <c r="E57" s="20" t="s">
        <v>999</v>
      </c>
      <c r="F57" s="40" t="s">
        <v>71</v>
      </c>
      <c r="G57" s="4" t="s">
        <v>577</v>
      </c>
      <c r="H57" s="3">
        <v>6</v>
      </c>
      <c r="I57" s="43"/>
    </row>
    <row r="58" spans="1:9" ht="22.5" customHeight="1" x14ac:dyDescent="0.3">
      <c r="A58" s="6">
        <v>51</v>
      </c>
      <c r="B58" s="3" t="s">
        <v>851</v>
      </c>
      <c r="C58" s="42">
        <v>47237</v>
      </c>
      <c r="D58" s="4" t="s">
        <v>13</v>
      </c>
      <c r="E58" s="20" t="s">
        <v>1000</v>
      </c>
      <c r="F58" s="40" t="s">
        <v>71</v>
      </c>
      <c r="G58" s="4" t="s">
        <v>577</v>
      </c>
      <c r="H58" s="3">
        <v>6</v>
      </c>
      <c r="I58" s="43"/>
    </row>
    <row r="59" spans="1:9" ht="22.5" customHeight="1" x14ac:dyDescent="0.3">
      <c r="A59" s="6">
        <v>52</v>
      </c>
      <c r="B59" s="3" t="s">
        <v>851</v>
      </c>
      <c r="C59" s="42">
        <v>49935</v>
      </c>
      <c r="D59" s="4" t="s">
        <v>13</v>
      </c>
      <c r="E59" s="20" t="s">
        <v>1001</v>
      </c>
      <c r="F59" s="40" t="s">
        <v>71</v>
      </c>
      <c r="G59" s="4" t="s">
        <v>577</v>
      </c>
      <c r="H59" s="3">
        <v>6</v>
      </c>
      <c r="I59" s="43"/>
    </row>
    <row r="60" spans="1:9" ht="22.5" customHeight="1" x14ac:dyDescent="0.3">
      <c r="A60" s="6">
        <v>53</v>
      </c>
      <c r="B60" s="3" t="s">
        <v>851</v>
      </c>
      <c r="C60" s="42">
        <v>54629</v>
      </c>
      <c r="D60" s="4" t="s">
        <v>13</v>
      </c>
      <c r="E60" s="20" t="s">
        <v>1002</v>
      </c>
      <c r="F60" s="40" t="s">
        <v>71</v>
      </c>
      <c r="G60" s="4" t="s">
        <v>577</v>
      </c>
      <c r="H60" s="3">
        <v>5.5</v>
      </c>
      <c r="I60" s="43"/>
    </row>
    <row r="61" spans="1:9" ht="22.5" customHeight="1" x14ac:dyDescent="0.3">
      <c r="A61" s="6">
        <v>54</v>
      </c>
      <c r="B61" s="3" t="s">
        <v>851</v>
      </c>
      <c r="C61" s="42">
        <v>57240</v>
      </c>
      <c r="D61" s="4" t="s">
        <v>13</v>
      </c>
      <c r="E61" s="20" t="s">
        <v>1003</v>
      </c>
      <c r="F61" s="40" t="s">
        <v>71</v>
      </c>
      <c r="G61" s="4" t="s">
        <v>577</v>
      </c>
      <c r="H61" s="3">
        <v>6</v>
      </c>
      <c r="I61" s="43"/>
    </row>
    <row r="62" spans="1:9" ht="22.5" customHeight="1" x14ac:dyDescent="0.3">
      <c r="A62" s="6">
        <v>55</v>
      </c>
      <c r="B62" s="3" t="s">
        <v>851</v>
      </c>
      <c r="C62" s="42">
        <v>72866</v>
      </c>
      <c r="D62" s="4" t="s">
        <v>13</v>
      </c>
      <c r="E62" s="20" t="s">
        <v>1004</v>
      </c>
      <c r="F62" s="40" t="s">
        <v>71</v>
      </c>
      <c r="G62" s="4" t="s">
        <v>577</v>
      </c>
      <c r="H62" s="3">
        <v>6</v>
      </c>
      <c r="I62" s="43"/>
    </row>
    <row r="63" spans="1:9" ht="22.5" customHeight="1" x14ac:dyDescent="0.3">
      <c r="A63" s="6">
        <v>56</v>
      </c>
      <c r="B63" s="3" t="s">
        <v>851</v>
      </c>
      <c r="C63" s="42">
        <v>81350</v>
      </c>
      <c r="D63" s="4" t="s">
        <v>13</v>
      </c>
      <c r="E63" s="20" t="s">
        <v>1005</v>
      </c>
      <c r="F63" s="40" t="s">
        <v>71</v>
      </c>
      <c r="G63" s="4" t="s">
        <v>577</v>
      </c>
      <c r="H63" s="3">
        <v>6</v>
      </c>
      <c r="I63" s="43"/>
    </row>
    <row r="64" spans="1:9" ht="22.5" customHeight="1" x14ac:dyDescent="0.3">
      <c r="A64" s="6">
        <v>57</v>
      </c>
      <c r="B64" s="3" t="s">
        <v>851</v>
      </c>
      <c r="C64" s="42">
        <v>82980</v>
      </c>
      <c r="D64" s="4" t="s">
        <v>13</v>
      </c>
      <c r="E64" s="20" t="s">
        <v>1006</v>
      </c>
      <c r="F64" s="40" t="s">
        <v>71</v>
      </c>
      <c r="G64" s="4" t="s">
        <v>577</v>
      </c>
      <c r="H64" s="3">
        <v>6</v>
      </c>
      <c r="I64" s="43"/>
    </row>
    <row r="65" spans="1:9" ht="22.5" customHeight="1" x14ac:dyDescent="0.3">
      <c r="A65" s="6">
        <v>58</v>
      </c>
      <c r="B65" s="3" t="s">
        <v>851</v>
      </c>
      <c r="C65" s="42">
        <v>85320</v>
      </c>
      <c r="D65" s="4" t="s">
        <v>13</v>
      </c>
      <c r="E65" s="20" t="s">
        <v>1007</v>
      </c>
      <c r="F65" s="40" t="s">
        <v>71</v>
      </c>
      <c r="G65" s="4" t="s">
        <v>577</v>
      </c>
      <c r="H65" s="3">
        <v>6</v>
      </c>
      <c r="I65" s="43"/>
    </row>
    <row r="66" spans="1:9" ht="22.5" customHeight="1" x14ac:dyDescent="0.3">
      <c r="A66" s="6">
        <v>59</v>
      </c>
      <c r="B66" s="3" t="s">
        <v>851</v>
      </c>
      <c r="C66" s="42">
        <v>89085</v>
      </c>
      <c r="D66" s="4" t="s">
        <v>13</v>
      </c>
      <c r="E66" s="20" t="s">
        <v>1008</v>
      </c>
      <c r="F66" s="40" t="s">
        <v>71</v>
      </c>
      <c r="G66" s="4" t="s">
        <v>577</v>
      </c>
      <c r="H66" s="3">
        <v>6</v>
      </c>
      <c r="I66" s="43"/>
    </row>
    <row r="67" spans="1:9" ht="22.5" customHeight="1" x14ac:dyDescent="0.3">
      <c r="A67" s="6">
        <v>60</v>
      </c>
      <c r="B67" s="3" t="s">
        <v>851</v>
      </c>
      <c r="C67" s="42">
        <v>89800</v>
      </c>
      <c r="D67" s="4" t="s">
        <v>13</v>
      </c>
      <c r="E67" s="20" t="s">
        <v>1009</v>
      </c>
      <c r="F67" s="40" t="s">
        <v>71</v>
      </c>
      <c r="G67" s="4" t="s">
        <v>577</v>
      </c>
      <c r="H67" s="3">
        <v>7</v>
      </c>
      <c r="I67" s="43"/>
    </row>
    <row r="68" spans="1:9" ht="22.5" customHeight="1" x14ac:dyDescent="0.3">
      <c r="A68" s="6">
        <v>61</v>
      </c>
      <c r="B68" s="3" t="s">
        <v>851</v>
      </c>
      <c r="C68" s="42">
        <v>91297</v>
      </c>
      <c r="D68" s="4" t="s">
        <v>13</v>
      </c>
      <c r="E68" s="20" t="s">
        <v>1010</v>
      </c>
      <c r="F68" s="40" t="s">
        <v>58</v>
      </c>
      <c r="G68" s="4" t="s">
        <v>577</v>
      </c>
      <c r="H68" s="3">
        <v>6</v>
      </c>
      <c r="I68" s="43"/>
    </row>
    <row r="69" spans="1:9" ht="22.5" customHeight="1" x14ac:dyDescent="0.3">
      <c r="A69" s="6">
        <v>62</v>
      </c>
      <c r="B69" s="3" t="s">
        <v>851</v>
      </c>
      <c r="C69" s="44">
        <v>101258</v>
      </c>
      <c r="D69" s="4" t="s">
        <v>13</v>
      </c>
      <c r="E69" s="20" t="s">
        <v>1011</v>
      </c>
      <c r="F69" s="40" t="s">
        <v>71</v>
      </c>
      <c r="G69" s="4" t="s">
        <v>577</v>
      </c>
      <c r="H69" s="3">
        <v>6</v>
      </c>
      <c r="I69" s="43"/>
    </row>
    <row r="70" spans="1:9" ht="22.5" customHeight="1" x14ac:dyDescent="0.3">
      <c r="A70" s="6">
        <v>63</v>
      </c>
      <c r="B70" s="3" t="s">
        <v>851</v>
      </c>
      <c r="C70" s="42">
        <v>116200</v>
      </c>
      <c r="D70" s="4" t="s">
        <v>13</v>
      </c>
      <c r="E70" s="20" t="s">
        <v>1012</v>
      </c>
      <c r="F70" s="40" t="s">
        <v>71</v>
      </c>
      <c r="G70" s="4" t="s">
        <v>577</v>
      </c>
      <c r="H70" s="3">
        <v>7.5</v>
      </c>
      <c r="I70" s="43"/>
    </row>
    <row r="71" spans="1:9" ht="22.5" customHeight="1" x14ac:dyDescent="0.3">
      <c r="A71" s="6">
        <v>64</v>
      </c>
      <c r="B71" s="3" t="s">
        <v>851</v>
      </c>
      <c r="C71" s="42">
        <v>119900</v>
      </c>
      <c r="D71" s="4" t="s">
        <v>13</v>
      </c>
      <c r="E71" s="20" t="s">
        <v>1013</v>
      </c>
      <c r="F71" s="40" t="s">
        <v>71</v>
      </c>
      <c r="G71" s="4" t="s">
        <v>577</v>
      </c>
      <c r="H71" s="3">
        <v>7.5</v>
      </c>
      <c r="I71" s="43"/>
    </row>
    <row r="72" spans="1:9" ht="22.5" customHeight="1" x14ac:dyDescent="0.3">
      <c r="A72" s="6">
        <v>65</v>
      </c>
      <c r="B72" s="3" t="s">
        <v>851</v>
      </c>
      <c r="C72" s="42">
        <v>125891</v>
      </c>
      <c r="D72" s="4" t="s">
        <v>13</v>
      </c>
      <c r="E72" s="20" t="s">
        <v>1014</v>
      </c>
      <c r="F72" s="40" t="s">
        <v>71</v>
      </c>
      <c r="G72" s="4" t="s">
        <v>577</v>
      </c>
      <c r="H72" s="3">
        <v>6</v>
      </c>
      <c r="I72" s="43"/>
    </row>
    <row r="73" spans="1:9" ht="22.5" customHeight="1" x14ac:dyDescent="0.3">
      <c r="A73" s="6">
        <v>66</v>
      </c>
      <c r="B73" s="3" t="s">
        <v>851</v>
      </c>
      <c r="C73" s="42">
        <v>128907</v>
      </c>
      <c r="D73" s="4" t="s">
        <v>13</v>
      </c>
      <c r="E73" s="20" t="s">
        <v>1015</v>
      </c>
      <c r="F73" s="40" t="s">
        <v>71</v>
      </c>
      <c r="G73" s="4" t="s">
        <v>577</v>
      </c>
      <c r="H73" s="3">
        <v>6.5</v>
      </c>
      <c r="I73" s="43"/>
    </row>
    <row r="74" spans="1:9" ht="22.5" customHeight="1" x14ac:dyDescent="0.3">
      <c r="A74" s="6">
        <v>67</v>
      </c>
      <c r="B74" s="3" t="s">
        <v>851</v>
      </c>
      <c r="C74" s="42">
        <v>135400</v>
      </c>
      <c r="D74" s="4" t="s">
        <v>13</v>
      </c>
      <c r="E74" s="20" t="s">
        <v>1016</v>
      </c>
      <c r="F74" s="40" t="s">
        <v>71</v>
      </c>
      <c r="G74" s="4" t="s">
        <v>577</v>
      </c>
      <c r="H74" s="3">
        <v>8</v>
      </c>
      <c r="I74" s="43"/>
    </row>
    <row r="75" spans="1:9" ht="22.5" customHeight="1" x14ac:dyDescent="0.3">
      <c r="A75" s="6">
        <v>68</v>
      </c>
      <c r="B75" s="3" t="s">
        <v>851</v>
      </c>
      <c r="C75" s="42">
        <v>136969</v>
      </c>
      <c r="D75" s="4" t="s">
        <v>13</v>
      </c>
      <c r="E75" s="20" t="s">
        <v>1017</v>
      </c>
      <c r="F75" s="40" t="s">
        <v>71</v>
      </c>
      <c r="G75" s="4" t="s">
        <v>577</v>
      </c>
      <c r="H75" s="3">
        <v>6.5</v>
      </c>
      <c r="I75" s="43"/>
    </row>
    <row r="76" spans="1:9" ht="22.5" customHeight="1" x14ac:dyDescent="0.3">
      <c r="A76" s="6">
        <v>69</v>
      </c>
      <c r="B76" s="3" t="s">
        <v>851</v>
      </c>
      <c r="C76" s="42">
        <v>138561</v>
      </c>
      <c r="D76" s="4" t="s">
        <v>13</v>
      </c>
      <c r="E76" s="20" t="s">
        <v>1018</v>
      </c>
      <c r="F76" s="40" t="s">
        <v>58</v>
      </c>
      <c r="G76" s="4" t="s">
        <v>577</v>
      </c>
      <c r="H76" s="3">
        <v>6</v>
      </c>
      <c r="I76" s="43"/>
    </row>
    <row r="77" spans="1:9" ht="22.5" customHeight="1" x14ac:dyDescent="0.3">
      <c r="A77" s="6">
        <v>70</v>
      </c>
      <c r="B77" s="3" t="s">
        <v>851</v>
      </c>
      <c r="C77" s="42">
        <v>142435</v>
      </c>
      <c r="D77" s="4" t="s">
        <v>13</v>
      </c>
      <c r="E77" s="20" t="s">
        <v>1019</v>
      </c>
      <c r="F77" s="40" t="s">
        <v>71</v>
      </c>
      <c r="G77" s="4" t="s">
        <v>577</v>
      </c>
      <c r="H77" s="3">
        <v>6</v>
      </c>
      <c r="I77" s="43"/>
    </row>
    <row r="78" spans="1:9" ht="22.5" customHeight="1" x14ac:dyDescent="0.3">
      <c r="A78" s="6">
        <v>71</v>
      </c>
      <c r="B78" s="3" t="s">
        <v>851</v>
      </c>
      <c r="C78" s="42">
        <v>152481</v>
      </c>
      <c r="D78" s="4" t="s">
        <v>13</v>
      </c>
      <c r="E78" s="20" t="s">
        <v>915</v>
      </c>
      <c r="F78" s="40" t="s">
        <v>71</v>
      </c>
      <c r="G78" s="4" t="s">
        <v>577</v>
      </c>
      <c r="H78" s="3">
        <v>9</v>
      </c>
      <c r="I78" s="43"/>
    </row>
    <row r="79" spans="1:9" s="31" customFormat="1" ht="22.5" customHeight="1" x14ac:dyDescent="0.3">
      <c r="A79" s="6">
        <v>72</v>
      </c>
      <c r="B79" s="17" t="s">
        <v>566</v>
      </c>
      <c r="C79" s="45" t="s">
        <v>567</v>
      </c>
      <c r="D79" s="17" t="s">
        <v>13</v>
      </c>
      <c r="E79" s="17" t="s">
        <v>568</v>
      </c>
      <c r="F79" s="17"/>
      <c r="G79" s="4" t="s">
        <v>577</v>
      </c>
      <c r="H79" s="34">
        <v>7.6</v>
      </c>
      <c r="I79" s="17" t="s">
        <v>569</v>
      </c>
    </row>
    <row r="80" spans="1:9" s="31" customFormat="1" ht="22.5" customHeight="1" x14ac:dyDescent="0.3">
      <c r="A80" s="6">
        <v>73</v>
      </c>
      <c r="B80" s="17" t="s">
        <v>566</v>
      </c>
      <c r="C80" s="45">
        <v>44443</v>
      </c>
      <c r="D80" s="17" t="s">
        <v>13</v>
      </c>
      <c r="E80" s="17" t="s">
        <v>570</v>
      </c>
      <c r="F80" s="17"/>
      <c r="G80" s="4" t="s">
        <v>577</v>
      </c>
      <c r="H80" s="34">
        <v>6.6</v>
      </c>
      <c r="I80" s="17" t="s">
        <v>569</v>
      </c>
    </row>
    <row r="81" spans="1:9" s="31" customFormat="1" ht="22.5" customHeight="1" x14ac:dyDescent="0.3">
      <c r="A81" s="6">
        <v>74</v>
      </c>
      <c r="B81" s="17" t="s">
        <v>566</v>
      </c>
      <c r="C81" s="45">
        <v>45814</v>
      </c>
      <c r="D81" s="17" t="s">
        <v>13</v>
      </c>
      <c r="E81" s="17" t="s">
        <v>571</v>
      </c>
      <c r="F81" s="17"/>
      <c r="G81" s="4" t="s">
        <v>577</v>
      </c>
      <c r="H81" s="34">
        <v>6.9</v>
      </c>
      <c r="I81" s="17" t="s">
        <v>569</v>
      </c>
    </row>
    <row r="82" spans="1:9" s="31" customFormat="1" ht="22.5" customHeight="1" x14ac:dyDescent="0.3">
      <c r="A82" s="6">
        <v>75</v>
      </c>
      <c r="B82" s="17" t="s">
        <v>566</v>
      </c>
      <c r="C82" s="45">
        <v>46920</v>
      </c>
      <c r="D82" s="17" t="s">
        <v>13</v>
      </c>
      <c r="E82" s="17" t="s">
        <v>572</v>
      </c>
      <c r="F82" s="17"/>
      <c r="G82" s="4" t="s">
        <v>577</v>
      </c>
      <c r="H82" s="34">
        <v>6.6</v>
      </c>
      <c r="I82" s="17" t="s">
        <v>569</v>
      </c>
    </row>
    <row r="83" spans="1:9" ht="22.5" customHeight="1" x14ac:dyDescent="0.3">
      <c r="A83" s="6">
        <v>76</v>
      </c>
      <c r="B83" s="17" t="s">
        <v>566</v>
      </c>
      <c r="C83" s="45">
        <v>49349</v>
      </c>
      <c r="D83" s="17" t="s">
        <v>13</v>
      </c>
      <c r="E83" s="17" t="s">
        <v>573</v>
      </c>
      <c r="F83" s="17"/>
      <c r="G83" s="4" t="s">
        <v>577</v>
      </c>
      <c r="H83" s="34">
        <v>6.5</v>
      </c>
      <c r="I83" s="17" t="s">
        <v>569</v>
      </c>
    </row>
    <row r="84" spans="1:9" ht="22.5" customHeight="1" x14ac:dyDescent="0.3">
      <c r="A84" s="6">
        <v>77</v>
      </c>
      <c r="B84" s="17" t="s">
        <v>566</v>
      </c>
      <c r="C84" s="45">
        <v>49826</v>
      </c>
      <c r="D84" s="17" t="s">
        <v>13</v>
      </c>
      <c r="E84" s="17" t="s">
        <v>574</v>
      </c>
      <c r="F84" s="17"/>
      <c r="G84" s="4" t="s">
        <v>577</v>
      </c>
      <c r="H84" s="34">
        <v>6.5</v>
      </c>
      <c r="I84" s="17" t="s">
        <v>569</v>
      </c>
    </row>
    <row r="85" spans="1:9" s="31" customFormat="1" ht="22.5" customHeight="1" x14ac:dyDescent="0.3">
      <c r="A85" s="6">
        <v>78</v>
      </c>
      <c r="B85" s="46" t="s">
        <v>566</v>
      </c>
      <c r="C85" s="20" t="s">
        <v>575</v>
      </c>
      <c r="D85" s="17" t="s">
        <v>13</v>
      </c>
      <c r="E85" s="20" t="s">
        <v>576</v>
      </c>
      <c r="F85" s="40" t="s">
        <v>577</v>
      </c>
      <c r="G85" s="17" t="s">
        <v>578</v>
      </c>
      <c r="H85" s="34"/>
      <c r="I85" s="41"/>
    </row>
    <row r="86" spans="1:9" s="31" customFormat="1" ht="22.5" customHeight="1" x14ac:dyDescent="0.3">
      <c r="A86" s="6">
        <v>79</v>
      </c>
      <c r="B86" s="46" t="s">
        <v>566</v>
      </c>
      <c r="C86" s="20" t="s">
        <v>579</v>
      </c>
      <c r="D86" s="17" t="s">
        <v>13</v>
      </c>
      <c r="E86" s="20" t="s">
        <v>580</v>
      </c>
      <c r="F86" s="40" t="s">
        <v>577</v>
      </c>
      <c r="G86" s="17" t="s">
        <v>578</v>
      </c>
      <c r="H86" s="34"/>
      <c r="I86" s="41"/>
    </row>
    <row r="87" spans="1:9" s="31" customFormat="1" ht="22.5" customHeight="1" x14ac:dyDescent="0.3">
      <c r="A87" s="6">
        <v>80</v>
      </c>
      <c r="B87" s="46" t="s">
        <v>566</v>
      </c>
      <c r="C87" s="20" t="s">
        <v>581</v>
      </c>
      <c r="D87" s="17" t="s">
        <v>13</v>
      </c>
      <c r="E87" s="20" t="s">
        <v>582</v>
      </c>
      <c r="F87" s="40" t="s">
        <v>577</v>
      </c>
      <c r="G87" s="17" t="s">
        <v>583</v>
      </c>
      <c r="H87" s="34"/>
      <c r="I87" s="41"/>
    </row>
    <row r="88" spans="1:9" s="31" customFormat="1" ht="22.5" customHeight="1" x14ac:dyDescent="0.3">
      <c r="A88" s="6">
        <v>81</v>
      </c>
      <c r="B88" s="46" t="s">
        <v>566</v>
      </c>
      <c r="C88" s="20" t="s">
        <v>584</v>
      </c>
      <c r="D88" s="17" t="s">
        <v>13</v>
      </c>
      <c r="E88" s="20" t="s">
        <v>585</v>
      </c>
      <c r="F88" s="40" t="s">
        <v>577</v>
      </c>
      <c r="G88" s="17" t="s">
        <v>586</v>
      </c>
      <c r="H88" s="34"/>
      <c r="I88" s="41"/>
    </row>
    <row r="89" spans="1:9" s="31" customFormat="1" ht="22.5" customHeight="1" x14ac:dyDescent="0.3">
      <c r="A89" s="6">
        <v>82</v>
      </c>
      <c r="B89" s="46" t="s">
        <v>566</v>
      </c>
      <c r="C89" s="20" t="s">
        <v>587</v>
      </c>
      <c r="D89" s="17" t="s">
        <v>13</v>
      </c>
      <c r="E89" s="20" t="s">
        <v>588</v>
      </c>
      <c r="F89" s="40" t="s">
        <v>577</v>
      </c>
      <c r="G89" s="17" t="s">
        <v>589</v>
      </c>
      <c r="H89" s="34"/>
      <c r="I89" s="41"/>
    </row>
    <row r="90" spans="1:9" s="31" customFormat="1" ht="22.5" customHeight="1" x14ac:dyDescent="0.3">
      <c r="A90" s="6">
        <v>83</v>
      </c>
      <c r="B90" s="46" t="s">
        <v>566</v>
      </c>
      <c r="C90" s="20" t="s">
        <v>590</v>
      </c>
      <c r="D90" s="17" t="s">
        <v>13</v>
      </c>
      <c r="E90" s="20" t="s">
        <v>591</v>
      </c>
      <c r="F90" s="40" t="s">
        <v>577</v>
      </c>
      <c r="G90" s="17" t="s">
        <v>592</v>
      </c>
      <c r="H90" s="34"/>
      <c r="I90" s="41"/>
    </row>
    <row r="91" spans="1:9" s="31" customFormat="1" ht="22.5" customHeight="1" x14ac:dyDescent="0.3">
      <c r="A91" s="6">
        <v>84</v>
      </c>
      <c r="B91" s="46" t="s">
        <v>566</v>
      </c>
      <c r="C91" s="20" t="s">
        <v>593</v>
      </c>
      <c r="D91" s="17" t="s">
        <v>13</v>
      </c>
      <c r="E91" s="20" t="s">
        <v>594</v>
      </c>
      <c r="F91" s="40" t="s">
        <v>577</v>
      </c>
      <c r="G91" s="4" t="s">
        <v>577</v>
      </c>
      <c r="H91" s="34"/>
      <c r="I91" s="41"/>
    </row>
    <row r="92" spans="1:9" s="31" customFormat="1" ht="22.5" customHeight="1" x14ac:dyDescent="0.3">
      <c r="A92" s="6">
        <v>85</v>
      </c>
      <c r="B92" s="46" t="s">
        <v>566</v>
      </c>
      <c r="C92" s="20" t="s">
        <v>595</v>
      </c>
      <c r="D92" s="17" t="s">
        <v>13</v>
      </c>
      <c r="E92" s="20" t="s">
        <v>596</v>
      </c>
      <c r="F92" s="40" t="s">
        <v>577</v>
      </c>
      <c r="G92" s="17" t="s">
        <v>597</v>
      </c>
      <c r="H92" s="34"/>
      <c r="I92" s="41"/>
    </row>
    <row r="93" spans="1:9" s="31" customFormat="1" ht="22.5" customHeight="1" x14ac:dyDescent="0.3">
      <c r="A93" s="6">
        <v>86</v>
      </c>
      <c r="B93" s="46" t="s">
        <v>566</v>
      </c>
      <c r="C93" s="20" t="s">
        <v>598</v>
      </c>
      <c r="D93" s="17" t="s">
        <v>13</v>
      </c>
      <c r="E93" s="20" t="s">
        <v>599</v>
      </c>
      <c r="F93" s="40" t="s">
        <v>577</v>
      </c>
      <c r="G93" s="17" t="s">
        <v>600</v>
      </c>
      <c r="H93" s="34"/>
      <c r="I93" s="41"/>
    </row>
    <row r="94" spans="1:9" s="31" customFormat="1" ht="22.5" customHeight="1" x14ac:dyDescent="0.3">
      <c r="A94" s="6">
        <v>87</v>
      </c>
      <c r="B94" s="46" t="s">
        <v>566</v>
      </c>
      <c r="C94" s="20" t="s">
        <v>601</v>
      </c>
      <c r="D94" s="17" t="s">
        <v>13</v>
      </c>
      <c r="E94" s="20" t="s">
        <v>602</v>
      </c>
      <c r="F94" s="40" t="s">
        <v>577</v>
      </c>
      <c r="G94" s="17" t="s">
        <v>600</v>
      </c>
      <c r="H94" s="34"/>
      <c r="I94" s="41"/>
    </row>
    <row r="95" spans="1:9" s="31" customFormat="1" ht="22.5" customHeight="1" x14ac:dyDescent="0.3">
      <c r="A95" s="6">
        <v>88</v>
      </c>
      <c r="B95" s="46" t="s">
        <v>566</v>
      </c>
      <c r="C95" s="20" t="s">
        <v>603</v>
      </c>
      <c r="D95" s="17" t="s">
        <v>13</v>
      </c>
      <c r="E95" s="20" t="s">
        <v>604</v>
      </c>
      <c r="F95" s="40" t="s">
        <v>577</v>
      </c>
      <c r="G95" s="4" t="s">
        <v>577</v>
      </c>
      <c r="H95" s="34"/>
      <c r="I95" s="41"/>
    </row>
    <row r="96" spans="1:9" s="31" customFormat="1" ht="22.5" customHeight="1" x14ac:dyDescent="0.3">
      <c r="A96" s="6">
        <v>89</v>
      </c>
      <c r="B96" s="46" t="s">
        <v>566</v>
      </c>
      <c r="C96" s="20" t="s">
        <v>605</v>
      </c>
      <c r="D96" s="17" t="s">
        <v>13</v>
      </c>
      <c r="E96" s="20" t="s">
        <v>606</v>
      </c>
      <c r="F96" s="40" t="s">
        <v>577</v>
      </c>
      <c r="G96" s="4" t="s">
        <v>577</v>
      </c>
      <c r="H96" s="34"/>
      <c r="I96" s="41"/>
    </row>
    <row r="97" spans="1:10" s="31" customFormat="1" ht="22.5" customHeight="1" x14ac:dyDescent="0.3">
      <c r="A97" s="6">
        <v>90</v>
      </c>
      <c r="B97" s="46" t="s">
        <v>566</v>
      </c>
      <c r="C97" s="20" t="s">
        <v>607</v>
      </c>
      <c r="D97" s="17" t="s">
        <v>13</v>
      </c>
      <c r="E97" s="20" t="s">
        <v>608</v>
      </c>
      <c r="F97" s="40" t="s">
        <v>577</v>
      </c>
      <c r="G97" s="17" t="s">
        <v>609</v>
      </c>
      <c r="H97" s="34"/>
      <c r="I97" s="41"/>
    </row>
    <row r="98" spans="1:10" s="31" customFormat="1" ht="22.5" customHeight="1" x14ac:dyDescent="0.3">
      <c r="A98" s="6">
        <v>91</v>
      </c>
      <c r="B98" s="46" t="s">
        <v>566</v>
      </c>
      <c r="C98" s="20" t="s">
        <v>610</v>
      </c>
      <c r="D98" s="17" t="s">
        <v>13</v>
      </c>
      <c r="E98" s="20" t="s">
        <v>611</v>
      </c>
      <c r="F98" s="40" t="s">
        <v>58</v>
      </c>
      <c r="G98" s="4" t="s">
        <v>577</v>
      </c>
      <c r="H98" s="34"/>
      <c r="I98" s="41"/>
    </row>
    <row r="99" spans="1:10" s="31" customFormat="1" ht="22.5" customHeight="1" x14ac:dyDescent="0.3">
      <c r="A99" s="6">
        <v>92</v>
      </c>
      <c r="B99" s="46" t="s">
        <v>566</v>
      </c>
      <c r="C99" s="20" t="s">
        <v>612</v>
      </c>
      <c r="D99" s="17" t="s">
        <v>13</v>
      </c>
      <c r="E99" s="20" t="s">
        <v>613</v>
      </c>
      <c r="F99" s="40" t="s">
        <v>577</v>
      </c>
      <c r="G99" s="4" t="s">
        <v>577</v>
      </c>
      <c r="H99" s="34"/>
      <c r="I99" s="41"/>
    </row>
    <row r="100" spans="1:10" s="31" customFormat="1" ht="22.5" customHeight="1" x14ac:dyDescent="0.3">
      <c r="A100" s="6">
        <v>93</v>
      </c>
      <c r="B100" s="46" t="s">
        <v>566</v>
      </c>
      <c r="C100" s="20" t="s">
        <v>614</v>
      </c>
      <c r="D100" s="17" t="s">
        <v>13</v>
      </c>
      <c r="E100" s="20" t="s">
        <v>615</v>
      </c>
      <c r="F100" s="40" t="s">
        <v>577</v>
      </c>
      <c r="G100" s="17" t="s">
        <v>616</v>
      </c>
      <c r="H100" s="34"/>
      <c r="I100" s="41"/>
    </row>
    <row r="101" spans="1:10" ht="22.5" customHeight="1" x14ac:dyDescent="0.3">
      <c r="A101" s="6">
        <v>94</v>
      </c>
      <c r="B101" s="46" t="s">
        <v>566</v>
      </c>
      <c r="C101" s="20" t="s">
        <v>896</v>
      </c>
      <c r="D101" s="4" t="s">
        <v>13</v>
      </c>
      <c r="E101" s="20" t="s">
        <v>897</v>
      </c>
      <c r="F101" s="40" t="s">
        <v>577</v>
      </c>
      <c r="G101" s="4" t="s">
        <v>577</v>
      </c>
      <c r="H101" s="4">
        <v>6</v>
      </c>
      <c r="I101" s="35" t="s">
        <v>898</v>
      </c>
      <c r="J101" s="32"/>
    </row>
    <row r="102" spans="1:10" ht="22.5" customHeight="1" x14ac:dyDescent="0.3">
      <c r="A102" s="6">
        <v>95</v>
      </c>
      <c r="B102" s="46" t="s">
        <v>566</v>
      </c>
      <c r="C102" s="20" t="s">
        <v>899</v>
      </c>
      <c r="D102" s="4" t="s">
        <v>13</v>
      </c>
      <c r="E102" s="20" t="s">
        <v>900</v>
      </c>
      <c r="F102" s="40" t="s">
        <v>577</v>
      </c>
      <c r="G102" s="4" t="s">
        <v>901</v>
      </c>
      <c r="H102" s="4">
        <v>6</v>
      </c>
      <c r="I102" s="35" t="s">
        <v>902</v>
      </c>
      <c r="J102" s="32"/>
    </row>
    <row r="103" spans="1:10" ht="22.5" customHeight="1" x14ac:dyDescent="0.3">
      <c r="A103" s="6">
        <v>96</v>
      </c>
      <c r="B103" s="46" t="s">
        <v>566</v>
      </c>
      <c r="C103" s="20" t="s">
        <v>903</v>
      </c>
      <c r="D103" s="4" t="s">
        <v>13</v>
      </c>
      <c r="E103" s="20" t="s">
        <v>904</v>
      </c>
      <c r="F103" s="40" t="s">
        <v>58</v>
      </c>
      <c r="G103" s="4" t="s">
        <v>577</v>
      </c>
      <c r="H103" s="4">
        <v>7</v>
      </c>
      <c r="I103" s="35"/>
      <c r="J103" s="32"/>
    </row>
    <row r="104" spans="1:10" ht="22.5" customHeight="1" x14ac:dyDescent="0.3">
      <c r="A104" s="6">
        <v>97</v>
      </c>
      <c r="B104" s="46" t="s">
        <v>566</v>
      </c>
      <c r="C104" s="20" t="s">
        <v>905</v>
      </c>
      <c r="D104" s="4" t="s">
        <v>13</v>
      </c>
      <c r="E104" s="20" t="s">
        <v>906</v>
      </c>
      <c r="F104" s="40"/>
      <c r="G104" s="4" t="s">
        <v>907</v>
      </c>
      <c r="H104" s="4">
        <v>6</v>
      </c>
      <c r="I104" s="35" t="s">
        <v>902</v>
      </c>
      <c r="J104" s="32"/>
    </row>
    <row r="105" spans="1:10" ht="22.5" customHeight="1" x14ac:dyDescent="0.3">
      <c r="A105" s="6">
        <v>98</v>
      </c>
      <c r="B105" s="46" t="s">
        <v>566</v>
      </c>
      <c r="C105" s="20" t="s">
        <v>908</v>
      </c>
      <c r="D105" s="4" t="s">
        <v>13</v>
      </c>
      <c r="E105" s="20" t="s">
        <v>909</v>
      </c>
      <c r="F105" s="40" t="s">
        <v>577</v>
      </c>
      <c r="G105" s="4" t="s">
        <v>577</v>
      </c>
      <c r="H105" s="4">
        <v>7.5</v>
      </c>
      <c r="I105" s="35" t="s">
        <v>898</v>
      </c>
      <c r="J105" s="32"/>
    </row>
    <row r="106" spans="1:10" ht="22.5" customHeight="1" x14ac:dyDescent="0.3">
      <c r="A106" s="6">
        <v>99</v>
      </c>
      <c r="B106" s="46" t="s">
        <v>566</v>
      </c>
      <c r="C106" s="20" t="s">
        <v>910</v>
      </c>
      <c r="D106" s="4" t="s">
        <v>13</v>
      </c>
      <c r="E106" s="20" t="s">
        <v>911</v>
      </c>
      <c r="F106" s="40" t="s">
        <v>58</v>
      </c>
      <c r="G106" s="4" t="s">
        <v>577</v>
      </c>
      <c r="H106" s="4">
        <v>11</v>
      </c>
      <c r="I106" s="35"/>
      <c r="J106" s="32"/>
    </row>
    <row r="107" spans="1:10" ht="22.5" customHeight="1" x14ac:dyDescent="0.3">
      <c r="A107" s="6">
        <v>100</v>
      </c>
      <c r="B107" s="46" t="s">
        <v>566</v>
      </c>
      <c r="C107" s="20" t="s">
        <v>912</v>
      </c>
      <c r="D107" s="4" t="s">
        <v>13</v>
      </c>
      <c r="E107" s="20" t="s">
        <v>913</v>
      </c>
      <c r="F107" s="40" t="s">
        <v>577</v>
      </c>
      <c r="G107" s="4" t="s">
        <v>901</v>
      </c>
      <c r="H107" s="4">
        <v>6</v>
      </c>
      <c r="I107" s="35" t="s">
        <v>902</v>
      </c>
      <c r="J107" s="32"/>
    </row>
    <row r="108" spans="1:10" ht="22.5" customHeight="1" x14ac:dyDescent="0.3">
      <c r="A108" s="6">
        <v>101</v>
      </c>
      <c r="B108" s="46" t="s">
        <v>566</v>
      </c>
      <c r="C108" s="20" t="s">
        <v>914</v>
      </c>
      <c r="D108" s="4" t="s">
        <v>13</v>
      </c>
      <c r="E108" s="20" t="s">
        <v>915</v>
      </c>
      <c r="F108" s="40" t="s">
        <v>58</v>
      </c>
      <c r="G108" s="4" t="s">
        <v>577</v>
      </c>
      <c r="H108" s="4">
        <v>9.5</v>
      </c>
      <c r="I108" s="35"/>
      <c r="J108" s="32"/>
    </row>
    <row r="109" spans="1:10" ht="22.5" customHeight="1" x14ac:dyDescent="0.3">
      <c r="A109" s="6">
        <v>102</v>
      </c>
      <c r="B109" s="46" t="s">
        <v>566</v>
      </c>
      <c r="C109" s="20" t="s">
        <v>916</v>
      </c>
      <c r="D109" s="4" t="s">
        <v>13</v>
      </c>
      <c r="E109" s="20" t="s">
        <v>611</v>
      </c>
      <c r="F109" s="40" t="s">
        <v>58</v>
      </c>
      <c r="G109" s="4" t="s">
        <v>577</v>
      </c>
      <c r="H109" s="4">
        <v>7</v>
      </c>
      <c r="I109" s="35"/>
      <c r="J109" s="32"/>
    </row>
    <row r="110" spans="1:10" ht="22.5" customHeight="1" x14ac:dyDescent="0.3">
      <c r="A110" s="6">
        <v>103</v>
      </c>
      <c r="B110" s="46" t="s">
        <v>566</v>
      </c>
      <c r="C110" s="20" t="s">
        <v>917</v>
      </c>
      <c r="D110" s="4" t="s">
        <v>13</v>
      </c>
      <c r="E110" s="20" t="s">
        <v>918</v>
      </c>
      <c r="F110" s="40" t="s">
        <v>58</v>
      </c>
      <c r="G110" s="4" t="s">
        <v>577</v>
      </c>
      <c r="H110" s="4">
        <v>10</v>
      </c>
      <c r="I110" s="35"/>
      <c r="J110" s="32"/>
    </row>
    <row r="111" spans="1:10" ht="22.5" customHeight="1" x14ac:dyDescent="0.3">
      <c r="A111" s="6">
        <v>104</v>
      </c>
      <c r="B111" s="46" t="s">
        <v>566</v>
      </c>
      <c r="C111" s="20" t="s">
        <v>919</v>
      </c>
      <c r="D111" s="4" t="s">
        <v>13</v>
      </c>
      <c r="E111" s="20" t="s">
        <v>920</v>
      </c>
      <c r="F111" s="40" t="s">
        <v>577</v>
      </c>
      <c r="G111" s="4" t="s">
        <v>577</v>
      </c>
      <c r="H111" s="4">
        <v>6</v>
      </c>
      <c r="I111" s="35"/>
      <c r="J111" s="32"/>
    </row>
    <row r="112" spans="1:10" ht="22.5" customHeight="1" x14ac:dyDescent="0.3">
      <c r="A112" s="6">
        <v>105</v>
      </c>
      <c r="B112" s="46" t="s">
        <v>566</v>
      </c>
      <c r="C112" s="20" t="s">
        <v>921</v>
      </c>
      <c r="D112" s="4" t="s">
        <v>13</v>
      </c>
      <c r="E112" s="20" t="s">
        <v>922</v>
      </c>
      <c r="F112" s="40" t="s">
        <v>577</v>
      </c>
      <c r="G112" s="4" t="s">
        <v>923</v>
      </c>
      <c r="H112" s="4">
        <v>6</v>
      </c>
      <c r="I112" s="35" t="s">
        <v>902</v>
      </c>
      <c r="J112" s="32"/>
    </row>
    <row r="113" spans="1:10" ht="22.5" customHeight="1" x14ac:dyDescent="0.3">
      <c r="A113" s="6">
        <v>106</v>
      </c>
      <c r="B113" s="46" t="s">
        <v>566</v>
      </c>
      <c r="C113" s="20" t="s">
        <v>924</v>
      </c>
      <c r="D113" s="4" t="s">
        <v>13</v>
      </c>
      <c r="E113" s="20" t="s">
        <v>925</v>
      </c>
      <c r="F113" s="40" t="s">
        <v>577</v>
      </c>
      <c r="G113" s="4" t="s">
        <v>577</v>
      </c>
      <c r="H113" s="4">
        <v>6</v>
      </c>
      <c r="I113" s="35"/>
      <c r="J113" s="32"/>
    </row>
    <row r="114" spans="1:10" ht="22.5" customHeight="1" x14ac:dyDescent="0.3">
      <c r="A114" s="6">
        <v>107</v>
      </c>
      <c r="B114" s="46" t="s">
        <v>566</v>
      </c>
      <c r="C114" s="20" t="s">
        <v>926</v>
      </c>
      <c r="D114" s="4" t="s">
        <v>13</v>
      </c>
      <c r="E114" s="20" t="s">
        <v>927</v>
      </c>
      <c r="F114" s="40" t="s">
        <v>577</v>
      </c>
      <c r="G114" s="4" t="s">
        <v>577</v>
      </c>
      <c r="H114" s="4">
        <v>6</v>
      </c>
      <c r="I114" s="35"/>
      <c r="J114" s="32"/>
    </row>
    <row r="115" spans="1:10" ht="22.5" customHeight="1" x14ac:dyDescent="0.3">
      <c r="A115" s="6">
        <v>108</v>
      </c>
      <c r="B115" s="46" t="s">
        <v>566</v>
      </c>
      <c r="C115" s="20" t="s">
        <v>928</v>
      </c>
      <c r="D115" s="4" t="s">
        <v>13</v>
      </c>
      <c r="E115" s="20" t="s">
        <v>929</v>
      </c>
      <c r="F115" s="40" t="s">
        <v>49</v>
      </c>
      <c r="G115" s="4" t="s">
        <v>577</v>
      </c>
      <c r="H115" s="4">
        <v>7</v>
      </c>
      <c r="I115" s="35"/>
      <c r="J115" s="32"/>
    </row>
    <row r="116" spans="1:10" ht="22.5" customHeight="1" x14ac:dyDescent="0.3">
      <c r="A116" s="6">
        <v>109</v>
      </c>
      <c r="B116" s="46" t="s">
        <v>566</v>
      </c>
      <c r="C116" s="20" t="s">
        <v>930</v>
      </c>
      <c r="D116" s="4" t="s">
        <v>13</v>
      </c>
      <c r="E116" s="20" t="s">
        <v>931</v>
      </c>
      <c r="F116" s="40" t="s">
        <v>49</v>
      </c>
      <c r="G116" s="4" t="s">
        <v>577</v>
      </c>
      <c r="H116" s="4" t="s">
        <v>1074</v>
      </c>
      <c r="I116" s="47" t="s">
        <v>932</v>
      </c>
      <c r="J116" s="32"/>
    </row>
    <row r="117" spans="1:10" ht="22.5" customHeight="1" x14ac:dyDescent="0.3">
      <c r="A117" s="6">
        <v>110</v>
      </c>
      <c r="B117" s="20" t="s">
        <v>883</v>
      </c>
      <c r="C117" s="20" t="s">
        <v>933</v>
      </c>
      <c r="D117" s="4" t="s">
        <v>13</v>
      </c>
      <c r="E117" s="20" t="s">
        <v>934</v>
      </c>
      <c r="F117" s="40" t="s">
        <v>49</v>
      </c>
      <c r="G117" s="4" t="s">
        <v>577</v>
      </c>
      <c r="H117" s="4" t="s">
        <v>1074</v>
      </c>
      <c r="I117" s="47" t="s">
        <v>932</v>
      </c>
      <c r="J117" s="32"/>
    </row>
    <row r="118" spans="1:10" ht="22.5" customHeight="1" x14ac:dyDescent="0.3">
      <c r="A118" s="6">
        <v>111</v>
      </c>
      <c r="B118" s="20" t="s">
        <v>883</v>
      </c>
      <c r="C118" s="20" t="s">
        <v>935</v>
      </c>
      <c r="D118" s="4" t="s">
        <v>13</v>
      </c>
      <c r="E118" s="20" t="s">
        <v>936</v>
      </c>
      <c r="F118" s="40" t="s">
        <v>49</v>
      </c>
      <c r="G118" s="4" t="s">
        <v>577</v>
      </c>
      <c r="H118" s="4" t="s">
        <v>1074</v>
      </c>
      <c r="I118" s="47"/>
      <c r="J118" s="32"/>
    </row>
    <row r="119" spans="1:10" ht="22.5" customHeight="1" x14ac:dyDescent="0.3">
      <c r="A119" s="6">
        <v>112</v>
      </c>
      <c r="B119" s="46" t="s">
        <v>883</v>
      </c>
      <c r="C119" s="20" t="s">
        <v>937</v>
      </c>
      <c r="D119" s="4" t="s">
        <v>13</v>
      </c>
      <c r="E119" s="20" t="s">
        <v>938</v>
      </c>
      <c r="F119" s="40" t="s">
        <v>49</v>
      </c>
      <c r="G119" s="4" t="s">
        <v>577</v>
      </c>
      <c r="H119" s="4" t="s">
        <v>1074</v>
      </c>
      <c r="I119" s="47"/>
      <c r="J119" s="32"/>
    </row>
    <row r="120" spans="1:10" ht="22.5" customHeight="1" x14ac:dyDescent="0.3">
      <c r="A120" s="6">
        <v>113</v>
      </c>
      <c r="B120" s="46" t="s">
        <v>883</v>
      </c>
      <c r="C120" s="20" t="s">
        <v>939</v>
      </c>
      <c r="D120" s="4" t="s">
        <v>13</v>
      </c>
      <c r="E120" s="20" t="s">
        <v>940</v>
      </c>
      <c r="F120" s="40" t="s">
        <v>49</v>
      </c>
      <c r="G120" s="4" t="s">
        <v>577</v>
      </c>
      <c r="H120" s="4">
        <v>7</v>
      </c>
      <c r="I120" s="47"/>
      <c r="J120" s="32"/>
    </row>
    <row r="121" spans="1:10" ht="22.5" customHeight="1" x14ac:dyDescent="0.3">
      <c r="A121" s="6">
        <v>114</v>
      </c>
      <c r="B121" s="46" t="s">
        <v>883</v>
      </c>
      <c r="C121" s="20" t="s">
        <v>941</v>
      </c>
      <c r="D121" s="4" t="s">
        <v>13</v>
      </c>
      <c r="E121" s="20" t="s">
        <v>942</v>
      </c>
      <c r="F121" s="40" t="s">
        <v>49</v>
      </c>
      <c r="G121" s="4" t="s">
        <v>577</v>
      </c>
      <c r="H121" s="4" t="s">
        <v>1074</v>
      </c>
      <c r="I121" s="47"/>
      <c r="J121" s="32"/>
    </row>
    <row r="122" spans="1:10" ht="22.5" customHeight="1" x14ac:dyDescent="0.3">
      <c r="A122" s="6">
        <v>115</v>
      </c>
      <c r="B122" s="46" t="s">
        <v>883</v>
      </c>
      <c r="C122" s="20" t="s">
        <v>943</v>
      </c>
      <c r="D122" s="4" t="s">
        <v>13</v>
      </c>
      <c r="E122" s="20" t="s">
        <v>944</v>
      </c>
      <c r="F122" s="40" t="s">
        <v>49</v>
      </c>
      <c r="G122" s="4" t="s">
        <v>577</v>
      </c>
      <c r="H122" s="4">
        <v>7</v>
      </c>
      <c r="I122" s="47"/>
      <c r="J122" s="32"/>
    </row>
    <row r="123" spans="1:10" ht="22.5" customHeight="1" x14ac:dyDescent="0.3">
      <c r="A123" s="6">
        <v>116</v>
      </c>
      <c r="B123" s="20" t="s">
        <v>883</v>
      </c>
      <c r="C123" s="20" t="s">
        <v>945</v>
      </c>
      <c r="D123" s="4" t="s">
        <v>13</v>
      </c>
      <c r="E123" s="20" t="s">
        <v>946</v>
      </c>
      <c r="F123" s="17" t="s">
        <v>657</v>
      </c>
      <c r="G123" s="4" t="s">
        <v>577</v>
      </c>
      <c r="H123" s="4" t="s">
        <v>1075</v>
      </c>
      <c r="I123" s="47"/>
      <c r="J123" s="32"/>
    </row>
    <row r="124" spans="1:10" ht="22.5" customHeight="1" x14ac:dyDescent="0.3">
      <c r="A124" s="6">
        <v>117</v>
      </c>
      <c r="B124" s="20" t="s">
        <v>883</v>
      </c>
      <c r="C124" s="20" t="s">
        <v>947</v>
      </c>
      <c r="D124" s="4" t="s">
        <v>13</v>
      </c>
      <c r="E124" s="20" t="s">
        <v>948</v>
      </c>
      <c r="F124" s="40" t="s">
        <v>49</v>
      </c>
      <c r="G124" s="4" t="s">
        <v>577</v>
      </c>
      <c r="H124" s="4" t="s">
        <v>1076</v>
      </c>
      <c r="I124" s="47"/>
      <c r="J124" s="32"/>
    </row>
    <row r="125" spans="1:10" ht="22.5" customHeight="1" x14ac:dyDescent="0.3">
      <c r="A125" s="6">
        <v>118</v>
      </c>
      <c r="B125" s="17" t="s">
        <v>617</v>
      </c>
      <c r="C125" s="48">
        <v>151900</v>
      </c>
      <c r="D125" s="17" t="s">
        <v>13</v>
      </c>
      <c r="E125" s="17" t="s">
        <v>618</v>
      </c>
      <c r="F125" s="17" t="s">
        <v>71</v>
      </c>
      <c r="G125" s="4" t="s">
        <v>577</v>
      </c>
      <c r="H125" s="34"/>
      <c r="I125" s="41"/>
    </row>
    <row r="126" spans="1:10" ht="22.5" customHeight="1" x14ac:dyDescent="0.3">
      <c r="A126" s="6">
        <v>119</v>
      </c>
      <c r="B126" s="17" t="s">
        <v>617</v>
      </c>
      <c r="C126" s="48">
        <v>158020</v>
      </c>
      <c r="D126" s="17" t="s">
        <v>13</v>
      </c>
      <c r="E126" s="17" t="s">
        <v>619</v>
      </c>
      <c r="F126" s="17" t="s">
        <v>71</v>
      </c>
      <c r="G126" s="4" t="s">
        <v>577</v>
      </c>
      <c r="H126" s="34"/>
      <c r="I126" s="41"/>
    </row>
    <row r="127" spans="1:10" ht="22.5" customHeight="1" x14ac:dyDescent="0.3">
      <c r="A127" s="6">
        <v>120</v>
      </c>
      <c r="B127" s="17" t="s">
        <v>617</v>
      </c>
      <c r="C127" s="48">
        <v>160149</v>
      </c>
      <c r="D127" s="17" t="s">
        <v>13</v>
      </c>
      <c r="E127" s="17" t="s">
        <v>620</v>
      </c>
      <c r="F127" s="17" t="s">
        <v>71</v>
      </c>
      <c r="G127" s="4" t="s">
        <v>577</v>
      </c>
      <c r="H127" s="34"/>
      <c r="I127" s="41"/>
    </row>
    <row r="128" spans="1:10" ht="22.5" customHeight="1" x14ac:dyDescent="0.3">
      <c r="A128" s="6">
        <v>121</v>
      </c>
      <c r="B128" s="17" t="s">
        <v>617</v>
      </c>
      <c r="C128" s="48">
        <v>173129</v>
      </c>
      <c r="D128" s="17" t="s">
        <v>13</v>
      </c>
      <c r="E128" s="17" t="s">
        <v>621</v>
      </c>
      <c r="F128" s="17" t="s">
        <v>523</v>
      </c>
      <c r="G128" s="4" t="s">
        <v>577</v>
      </c>
      <c r="H128" s="34"/>
      <c r="I128" s="41"/>
    </row>
    <row r="129" spans="1:9" ht="22.5" customHeight="1" x14ac:dyDescent="0.3">
      <c r="A129" s="6">
        <v>122</v>
      </c>
      <c r="B129" s="17" t="s">
        <v>617</v>
      </c>
      <c r="C129" s="48">
        <v>176620</v>
      </c>
      <c r="D129" s="17" t="s">
        <v>13</v>
      </c>
      <c r="E129" s="17" t="s">
        <v>622</v>
      </c>
      <c r="F129" s="17" t="s">
        <v>523</v>
      </c>
      <c r="G129" s="4" t="s">
        <v>577</v>
      </c>
      <c r="H129" s="34"/>
      <c r="I129" s="41"/>
    </row>
    <row r="130" spans="1:9" ht="22.5" customHeight="1" x14ac:dyDescent="0.3">
      <c r="A130" s="6">
        <v>123</v>
      </c>
      <c r="B130" s="17" t="s">
        <v>617</v>
      </c>
      <c r="C130" s="48">
        <v>182570</v>
      </c>
      <c r="D130" s="17" t="s">
        <v>13</v>
      </c>
      <c r="E130" s="17" t="s">
        <v>623</v>
      </c>
      <c r="F130" s="17" t="s">
        <v>523</v>
      </c>
      <c r="G130" s="4" t="s">
        <v>577</v>
      </c>
      <c r="H130" s="34"/>
      <c r="I130" s="41"/>
    </row>
    <row r="131" spans="1:9" ht="22.5" customHeight="1" x14ac:dyDescent="0.3">
      <c r="A131" s="6">
        <v>124</v>
      </c>
      <c r="B131" s="17" t="s">
        <v>617</v>
      </c>
      <c r="C131" s="48">
        <v>186272</v>
      </c>
      <c r="D131" s="17" t="s">
        <v>13</v>
      </c>
      <c r="E131" s="17" t="s">
        <v>624</v>
      </c>
      <c r="F131" s="17" t="s">
        <v>523</v>
      </c>
      <c r="G131" s="4" t="s">
        <v>577</v>
      </c>
      <c r="H131" s="34"/>
      <c r="I131" s="41"/>
    </row>
    <row r="132" spans="1:9" ht="22.5" customHeight="1" x14ac:dyDescent="0.3">
      <c r="A132" s="6">
        <v>125</v>
      </c>
      <c r="B132" s="17" t="s">
        <v>617</v>
      </c>
      <c r="C132" s="48">
        <v>188300</v>
      </c>
      <c r="D132" s="17" t="s">
        <v>13</v>
      </c>
      <c r="E132" s="17" t="s">
        <v>625</v>
      </c>
      <c r="F132" s="17" t="s">
        <v>523</v>
      </c>
      <c r="G132" s="4" t="s">
        <v>577</v>
      </c>
      <c r="H132" s="34"/>
      <c r="I132" s="41"/>
    </row>
    <row r="133" spans="1:9" ht="22.5" customHeight="1" x14ac:dyDescent="0.3">
      <c r="A133" s="6">
        <v>126</v>
      </c>
      <c r="B133" s="17" t="s">
        <v>617</v>
      </c>
      <c r="C133" s="48">
        <v>192800</v>
      </c>
      <c r="D133" s="17" t="s">
        <v>13</v>
      </c>
      <c r="E133" s="17" t="s">
        <v>626</v>
      </c>
      <c r="F133" s="17" t="s">
        <v>71</v>
      </c>
      <c r="G133" s="4" t="s">
        <v>577</v>
      </c>
      <c r="H133" s="34"/>
      <c r="I133" s="41"/>
    </row>
    <row r="134" spans="1:9" ht="22.5" customHeight="1" x14ac:dyDescent="0.3">
      <c r="A134" s="6">
        <v>127</v>
      </c>
      <c r="B134" s="17" t="s">
        <v>617</v>
      </c>
      <c r="C134" s="48">
        <v>200425</v>
      </c>
      <c r="D134" s="17" t="s">
        <v>13</v>
      </c>
      <c r="E134" s="17" t="s">
        <v>68</v>
      </c>
      <c r="F134" s="17" t="s">
        <v>58</v>
      </c>
      <c r="G134" s="4" t="s">
        <v>577</v>
      </c>
      <c r="H134" s="34"/>
      <c r="I134" s="41"/>
    </row>
    <row r="135" spans="1:9" ht="22.5" customHeight="1" x14ac:dyDescent="0.3">
      <c r="A135" s="6">
        <v>128</v>
      </c>
      <c r="B135" s="17" t="s">
        <v>617</v>
      </c>
      <c r="C135" s="48">
        <v>200891</v>
      </c>
      <c r="D135" s="17" t="s">
        <v>13</v>
      </c>
      <c r="E135" s="17" t="s">
        <v>517</v>
      </c>
      <c r="F135" s="17" t="s">
        <v>58</v>
      </c>
      <c r="G135" s="4" t="s">
        <v>577</v>
      </c>
      <c r="H135" s="34"/>
      <c r="I135" s="41"/>
    </row>
    <row r="136" spans="1:9" ht="22.5" customHeight="1" x14ac:dyDescent="0.3">
      <c r="A136" s="6">
        <v>129</v>
      </c>
      <c r="B136" s="17" t="s">
        <v>617</v>
      </c>
      <c r="C136" s="48">
        <v>201315</v>
      </c>
      <c r="D136" s="17" t="s">
        <v>13</v>
      </c>
      <c r="E136" s="17" t="s">
        <v>68</v>
      </c>
      <c r="F136" s="17" t="s">
        <v>58</v>
      </c>
      <c r="G136" s="4" t="s">
        <v>577</v>
      </c>
      <c r="H136" s="34"/>
      <c r="I136" s="41"/>
    </row>
    <row r="137" spans="1:9" ht="22.5" customHeight="1" x14ac:dyDescent="0.3">
      <c r="A137" s="6">
        <v>130</v>
      </c>
      <c r="B137" s="17" t="s">
        <v>617</v>
      </c>
      <c r="C137" s="48">
        <v>203389</v>
      </c>
      <c r="D137" s="17" t="s">
        <v>13</v>
      </c>
      <c r="E137" s="17" t="s">
        <v>68</v>
      </c>
      <c r="F137" s="17" t="s">
        <v>58</v>
      </c>
      <c r="G137" s="4" t="s">
        <v>577</v>
      </c>
      <c r="H137" s="34"/>
      <c r="I137" s="41"/>
    </row>
    <row r="138" spans="1:9" ht="22.5" customHeight="1" x14ac:dyDescent="0.3">
      <c r="A138" s="6">
        <v>131</v>
      </c>
      <c r="B138" s="17" t="s">
        <v>617</v>
      </c>
      <c r="C138" s="48">
        <v>204166</v>
      </c>
      <c r="D138" s="17" t="s">
        <v>13</v>
      </c>
      <c r="E138" s="17" t="s">
        <v>627</v>
      </c>
      <c r="F138" s="17" t="s">
        <v>71</v>
      </c>
      <c r="G138" s="4" t="s">
        <v>577</v>
      </c>
      <c r="H138" s="34"/>
      <c r="I138" s="41"/>
    </row>
    <row r="139" spans="1:9" ht="22.5" customHeight="1" x14ac:dyDescent="0.3">
      <c r="A139" s="6">
        <v>132</v>
      </c>
      <c r="B139" s="17" t="s">
        <v>617</v>
      </c>
      <c r="C139" s="48">
        <v>205372</v>
      </c>
      <c r="D139" s="17" t="s">
        <v>13</v>
      </c>
      <c r="E139" s="17" t="s">
        <v>628</v>
      </c>
      <c r="F139" s="17" t="s">
        <v>71</v>
      </c>
      <c r="G139" s="4" t="s">
        <v>577</v>
      </c>
      <c r="H139" s="34"/>
      <c r="I139" s="41"/>
    </row>
    <row r="140" spans="1:9" ht="22.5" customHeight="1" x14ac:dyDescent="0.3">
      <c r="A140" s="6">
        <v>133</v>
      </c>
      <c r="B140" s="17" t="s">
        <v>617</v>
      </c>
      <c r="C140" s="48">
        <v>205459</v>
      </c>
      <c r="D140" s="17" t="s">
        <v>13</v>
      </c>
      <c r="E140" s="17" t="s">
        <v>629</v>
      </c>
      <c r="F140" s="17" t="s">
        <v>71</v>
      </c>
      <c r="G140" s="4" t="s">
        <v>577</v>
      </c>
      <c r="H140" s="34"/>
      <c r="I140" s="41"/>
    </row>
    <row r="141" spans="1:9" ht="22.5" customHeight="1" x14ac:dyDescent="0.3">
      <c r="A141" s="6">
        <v>134</v>
      </c>
      <c r="B141" s="17" t="s">
        <v>617</v>
      </c>
      <c r="C141" s="48">
        <v>208488</v>
      </c>
      <c r="D141" s="17" t="s">
        <v>13</v>
      </c>
      <c r="E141" s="17" t="s">
        <v>408</v>
      </c>
      <c r="F141" s="17" t="s">
        <v>71</v>
      </c>
      <c r="G141" s="4" t="s">
        <v>577</v>
      </c>
      <c r="H141" s="34"/>
      <c r="I141" s="41"/>
    </row>
    <row r="142" spans="1:9" ht="22.5" customHeight="1" x14ac:dyDescent="0.3">
      <c r="A142" s="6">
        <v>135</v>
      </c>
      <c r="B142" s="17" t="s">
        <v>617</v>
      </c>
      <c r="C142" s="48">
        <v>213400</v>
      </c>
      <c r="D142" s="17" t="s">
        <v>13</v>
      </c>
      <c r="E142" s="17" t="s">
        <v>630</v>
      </c>
      <c r="F142" s="17" t="s">
        <v>523</v>
      </c>
      <c r="G142" s="4" t="s">
        <v>577</v>
      </c>
      <c r="H142" s="34"/>
      <c r="I142" s="41"/>
    </row>
    <row r="143" spans="1:9" ht="22.5" customHeight="1" x14ac:dyDescent="0.3">
      <c r="A143" s="6">
        <v>136</v>
      </c>
      <c r="B143" s="17" t="s">
        <v>617</v>
      </c>
      <c r="C143" s="48">
        <v>222780</v>
      </c>
      <c r="D143" s="17" t="s">
        <v>13</v>
      </c>
      <c r="E143" s="17" t="s">
        <v>631</v>
      </c>
      <c r="F143" s="17" t="s">
        <v>58</v>
      </c>
      <c r="G143" s="4" t="s">
        <v>577</v>
      </c>
      <c r="H143" s="34"/>
      <c r="I143" s="41"/>
    </row>
    <row r="144" spans="1:9" ht="22.5" customHeight="1" x14ac:dyDescent="0.3">
      <c r="A144" s="6">
        <v>137</v>
      </c>
      <c r="B144" s="17" t="s">
        <v>617</v>
      </c>
      <c r="C144" s="48">
        <v>231190</v>
      </c>
      <c r="D144" s="17" t="s">
        <v>13</v>
      </c>
      <c r="E144" s="17" t="s">
        <v>632</v>
      </c>
      <c r="F144" s="17" t="s">
        <v>523</v>
      </c>
      <c r="G144" s="4" t="s">
        <v>577</v>
      </c>
      <c r="H144" s="34"/>
      <c r="I144" s="41"/>
    </row>
    <row r="145" spans="1:9" ht="22.5" customHeight="1" x14ac:dyDescent="0.3">
      <c r="A145" s="6">
        <v>138</v>
      </c>
      <c r="B145" s="17" t="s">
        <v>617</v>
      </c>
      <c r="C145" s="48">
        <v>233330</v>
      </c>
      <c r="D145" s="17" t="s">
        <v>13</v>
      </c>
      <c r="E145" s="17" t="s">
        <v>633</v>
      </c>
      <c r="F145" s="17" t="s">
        <v>523</v>
      </c>
      <c r="G145" s="4" t="s">
        <v>577</v>
      </c>
      <c r="H145" s="34"/>
      <c r="I145" s="41"/>
    </row>
    <row r="146" spans="1:9" ht="22.5" customHeight="1" x14ac:dyDescent="0.3">
      <c r="A146" s="6">
        <v>139</v>
      </c>
      <c r="B146" s="17" t="s">
        <v>617</v>
      </c>
      <c r="C146" s="48">
        <v>236070</v>
      </c>
      <c r="D146" s="17" t="s">
        <v>13</v>
      </c>
      <c r="E146" s="17" t="s">
        <v>634</v>
      </c>
      <c r="F146" s="17" t="s">
        <v>523</v>
      </c>
      <c r="G146" s="4" t="s">
        <v>577</v>
      </c>
      <c r="H146" s="34"/>
      <c r="I146" s="41"/>
    </row>
    <row r="147" spans="1:9" ht="22.5" customHeight="1" x14ac:dyDescent="0.3">
      <c r="A147" s="6">
        <v>140</v>
      </c>
      <c r="B147" s="17" t="s">
        <v>617</v>
      </c>
      <c r="C147" s="48">
        <v>239210</v>
      </c>
      <c r="D147" s="17" t="s">
        <v>13</v>
      </c>
      <c r="E147" s="17" t="s">
        <v>635</v>
      </c>
      <c r="F147" s="17" t="s">
        <v>58</v>
      </c>
      <c r="G147" s="4" t="s">
        <v>577</v>
      </c>
      <c r="H147" s="34"/>
      <c r="I147" s="41"/>
    </row>
    <row r="148" spans="1:9" ht="22.5" customHeight="1" x14ac:dyDescent="0.3">
      <c r="A148" s="6">
        <v>141</v>
      </c>
      <c r="B148" s="17" t="s">
        <v>617</v>
      </c>
      <c r="C148" s="48">
        <v>243410</v>
      </c>
      <c r="D148" s="17" t="s">
        <v>13</v>
      </c>
      <c r="E148" s="17" t="s">
        <v>636</v>
      </c>
      <c r="F148" s="17" t="s">
        <v>58</v>
      </c>
      <c r="G148" s="4" t="s">
        <v>577</v>
      </c>
      <c r="H148" s="34"/>
      <c r="I148" s="41"/>
    </row>
    <row r="149" spans="1:9" ht="22.5" customHeight="1" x14ac:dyDescent="0.3">
      <c r="A149" s="6">
        <v>142</v>
      </c>
      <c r="B149" s="17" t="s">
        <v>617</v>
      </c>
      <c r="C149" s="48">
        <v>245600</v>
      </c>
      <c r="D149" s="17" t="s">
        <v>13</v>
      </c>
      <c r="E149" s="17" t="s">
        <v>637</v>
      </c>
      <c r="F149" s="17" t="s">
        <v>523</v>
      </c>
      <c r="G149" s="4" t="s">
        <v>577</v>
      </c>
      <c r="H149" s="34"/>
      <c r="I149" s="41"/>
    </row>
    <row r="150" spans="1:9" ht="22.5" customHeight="1" x14ac:dyDescent="0.3">
      <c r="A150" s="6">
        <v>143</v>
      </c>
      <c r="B150" s="17" t="s">
        <v>617</v>
      </c>
      <c r="C150" s="48">
        <v>249770</v>
      </c>
      <c r="D150" s="17" t="s">
        <v>13</v>
      </c>
      <c r="E150" s="17" t="s">
        <v>638</v>
      </c>
      <c r="F150" s="17" t="s">
        <v>523</v>
      </c>
      <c r="G150" s="4" t="s">
        <v>577</v>
      </c>
      <c r="H150" s="34"/>
      <c r="I150" s="41"/>
    </row>
    <row r="151" spans="1:9" ht="22.5" customHeight="1" x14ac:dyDescent="0.3">
      <c r="A151" s="6">
        <v>144</v>
      </c>
      <c r="B151" s="17" t="s">
        <v>617</v>
      </c>
      <c r="C151" s="48">
        <v>252060</v>
      </c>
      <c r="D151" s="17" t="s">
        <v>13</v>
      </c>
      <c r="E151" s="17" t="s">
        <v>639</v>
      </c>
      <c r="F151" s="17" t="s">
        <v>640</v>
      </c>
      <c r="G151" s="4" t="s">
        <v>577</v>
      </c>
      <c r="H151" s="34"/>
      <c r="I151" s="41"/>
    </row>
    <row r="152" spans="1:9" ht="22.5" customHeight="1" x14ac:dyDescent="0.3">
      <c r="A152" s="6">
        <v>145</v>
      </c>
      <c r="B152" s="17" t="s">
        <v>617</v>
      </c>
      <c r="C152" s="48">
        <v>255420</v>
      </c>
      <c r="D152" s="17" t="s">
        <v>13</v>
      </c>
      <c r="E152" s="17" t="s">
        <v>641</v>
      </c>
      <c r="F152" s="17" t="s">
        <v>523</v>
      </c>
      <c r="G152" s="4" t="s">
        <v>577</v>
      </c>
      <c r="H152" s="34"/>
      <c r="I152" s="41"/>
    </row>
    <row r="153" spans="1:9" ht="22.5" customHeight="1" x14ac:dyDescent="0.3">
      <c r="A153" s="6">
        <v>146</v>
      </c>
      <c r="B153" s="17" t="s">
        <v>617</v>
      </c>
      <c r="C153" s="48">
        <v>264100</v>
      </c>
      <c r="D153" s="17" t="s">
        <v>13</v>
      </c>
      <c r="E153" s="17" t="s">
        <v>642</v>
      </c>
      <c r="F153" s="17" t="s">
        <v>523</v>
      </c>
      <c r="G153" s="4" t="s">
        <v>577</v>
      </c>
      <c r="H153" s="34"/>
      <c r="I153" s="41"/>
    </row>
    <row r="154" spans="1:9" ht="22.5" customHeight="1" x14ac:dyDescent="0.3">
      <c r="A154" s="6">
        <v>147</v>
      </c>
      <c r="B154" s="17" t="s">
        <v>617</v>
      </c>
      <c r="C154" s="48">
        <v>264420</v>
      </c>
      <c r="D154" s="17" t="s">
        <v>13</v>
      </c>
      <c r="E154" s="17" t="s">
        <v>643</v>
      </c>
      <c r="F154" s="17" t="s">
        <v>523</v>
      </c>
      <c r="G154" s="4" t="s">
        <v>577</v>
      </c>
      <c r="H154" s="34"/>
      <c r="I154" s="41"/>
    </row>
    <row r="155" spans="1:9" ht="22.5" customHeight="1" x14ac:dyDescent="0.3">
      <c r="A155" s="6">
        <v>148</v>
      </c>
      <c r="B155" s="17" t="s">
        <v>617</v>
      </c>
      <c r="C155" s="48">
        <v>264950</v>
      </c>
      <c r="D155" s="17" t="s">
        <v>13</v>
      </c>
      <c r="E155" s="17" t="s">
        <v>644</v>
      </c>
      <c r="F155" s="17" t="s">
        <v>523</v>
      </c>
      <c r="G155" s="4" t="s">
        <v>577</v>
      </c>
      <c r="H155" s="34"/>
      <c r="I155" s="41"/>
    </row>
    <row r="156" spans="1:9" ht="22.5" customHeight="1" x14ac:dyDescent="0.3">
      <c r="A156" s="6">
        <v>149</v>
      </c>
      <c r="B156" s="17" t="s">
        <v>617</v>
      </c>
      <c r="C156" s="48">
        <v>288800</v>
      </c>
      <c r="D156" s="17" t="s">
        <v>13</v>
      </c>
      <c r="E156" s="17" t="s">
        <v>645</v>
      </c>
      <c r="F156" s="17" t="s">
        <v>58</v>
      </c>
      <c r="G156" s="4" t="s">
        <v>577</v>
      </c>
      <c r="H156" s="34"/>
      <c r="I156" s="41"/>
    </row>
    <row r="157" spans="1:9" ht="22.5" customHeight="1" x14ac:dyDescent="0.3">
      <c r="A157" s="6">
        <v>150</v>
      </c>
      <c r="B157" s="17" t="s">
        <v>617</v>
      </c>
      <c r="C157" s="48">
        <v>292590</v>
      </c>
      <c r="D157" s="17" t="s">
        <v>13</v>
      </c>
      <c r="E157" s="17" t="s">
        <v>646</v>
      </c>
      <c r="F157" s="17" t="s">
        <v>58</v>
      </c>
      <c r="G157" s="4" t="s">
        <v>577</v>
      </c>
      <c r="H157" s="34"/>
      <c r="I157" s="41"/>
    </row>
    <row r="158" spans="1:9" ht="22.5" customHeight="1" x14ac:dyDescent="0.3">
      <c r="A158" s="6">
        <v>151</v>
      </c>
      <c r="B158" s="17" t="s">
        <v>617</v>
      </c>
      <c r="C158" s="48">
        <v>294900</v>
      </c>
      <c r="D158" s="17" t="s">
        <v>13</v>
      </c>
      <c r="E158" s="17" t="s">
        <v>647</v>
      </c>
      <c r="F158" s="17" t="s">
        <v>523</v>
      </c>
      <c r="G158" s="4" t="s">
        <v>577</v>
      </c>
      <c r="H158" s="34"/>
      <c r="I158" s="41"/>
    </row>
    <row r="159" spans="1:9" ht="22.5" customHeight="1" x14ac:dyDescent="0.3">
      <c r="A159" s="6">
        <v>152</v>
      </c>
      <c r="B159" s="17" t="s">
        <v>617</v>
      </c>
      <c r="C159" s="48">
        <v>297401</v>
      </c>
      <c r="D159" s="17" t="s">
        <v>13</v>
      </c>
      <c r="E159" s="17" t="s">
        <v>648</v>
      </c>
      <c r="F159" s="17" t="s">
        <v>523</v>
      </c>
      <c r="G159" s="4" t="s">
        <v>577</v>
      </c>
      <c r="H159" s="34"/>
      <c r="I159" s="41"/>
    </row>
    <row r="160" spans="1:9" ht="22.5" customHeight="1" x14ac:dyDescent="0.3">
      <c r="A160" s="6">
        <v>153</v>
      </c>
      <c r="B160" s="17" t="s">
        <v>617</v>
      </c>
      <c r="C160" s="48">
        <v>299200</v>
      </c>
      <c r="D160" s="17" t="s">
        <v>13</v>
      </c>
      <c r="E160" s="17" t="s">
        <v>649</v>
      </c>
      <c r="F160" s="17" t="s">
        <v>523</v>
      </c>
      <c r="G160" s="4" t="s">
        <v>577</v>
      </c>
      <c r="H160" s="34"/>
      <c r="I160" s="41"/>
    </row>
    <row r="161" spans="1:9" ht="22.5" customHeight="1" x14ac:dyDescent="0.3">
      <c r="A161" s="6">
        <v>154</v>
      </c>
      <c r="B161" s="17" t="s">
        <v>617</v>
      </c>
      <c r="C161" s="48">
        <v>303400</v>
      </c>
      <c r="D161" s="17" t="s">
        <v>13</v>
      </c>
      <c r="E161" s="17" t="s">
        <v>650</v>
      </c>
      <c r="F161" s="17" t="s">
        <v>523</v>
      </c>
      <c r="G161" s="4" t="s">
        <v>577</v>
      </c>
      <c r="H161" s="34"/>
      <c r="I161" s="41"/>
    </row>
    <row r="162" spans="1:9" ht="22.5" customHeight="1" x14ac:dyDescent="0.3">
      <c r="A162" s="6">
        <v>155</v>
      </c>
      <c r="B162" s="17" t="s">
        <v>617</v>
      </c>
      <c r="C162" s="48">
        <v>304400</v>
      </c>
      <c r="D162" s="17" t="s">
        <v>13</v>
      </c>
      <c r="E162" s="17" t="s">
        <v>651</v>
      </c>
      <c r="F162" s="17" t="s">
        <v>523</v>
      </c>
      <c r="G162" s="4" t="s">
        <v>577</v>
      </c>
      <c r="H162" s="34"/>
      <c r="I162" s="41"/>
    </row>
    <row r="163" spans="1:9" ht="22.5" customHeight="1" x14ac:dyDescent="0.3">
      <c r="A163" s="6">
        <v>156</v>
      </c>
      <c r="B163" s="17" t="s">
        <v>617</v>
      </c>
      <c r="C163" s="48">
        <v>311950</v>
      </c>
      <c r="D163" s="17" t="s">
        <v>13</v>
      </c>
      <c r="E163" s="17" t="s">
        <v>652</v>
      </c>
      <c r="F163" s="17" t="s">
        <v>523</v>
      </c>
      <c r="G163" s="4" t="s">
        <v>577</v>
      </c>
      <c r="H163" s="34"/>
      <c r="I163" s="41"/>
    </row>
    <row r="164" spans="1:9" ht="22.5" customHeight="1" x14ac:dyDescent="0.3">
      <c r="A164" s="6">
        <v>157</v>
      </c>
      <c r="B164" s="17" t="s">
        <v>617</v>
      </c>
      <c r="C164" s="48">
        <v>312800</v>
      </c>
      <c r="D164" s="17" t="s">
        <v>13</v>
      </c>
      <c r="E164" s="17" t="s">
        <v>653</v>
      </c>
      <c r="F164" s="17" t="s">
        <v>523</v>
      </c>
      <c r="G164" s="4" t="s">
        <v>577</v>
      </c>
      <c r="H164" s="34"/>
      <c r="I164" s="41"/>
    </row>
    <row r="165" spans="1:9" ht="22.5" customHeight="1" x14ac:dyDescent="0.3">
      <c r="A165" s="6">
        <v>158</v>
      </c>
      <c r="B165" s="17" t="s">
        <v>617</v>
      </c>
      <c r="C165" s="48">
        <v>315800</v>
      </c>
      <c r="D165" s="17" t="s">
        <v>13</v>
      </c>
      <c r="E165" s="17" t="s">
        <v>654</v>
      </c>
      <c r="F165" s="17" t="s">
        <v>523</v>
      </c>
      <c r="G165" s="4" t="s">
        <v>577</v>
      </c>
      <c r="H165" s="34"/>
      <c r="I165" s="41"/>
    </row>
    <row r="166" spans="1:9" ht="22.5" customHeight="1" x14ac:dyDescent="0.3">
      <c r="A166" s="6">
        <v>159</v>
      </c>
      <c r="B166" s="17" t="s">
        <v>617</v>
      </c>
      <c r="C166" s="48">
        <v>321300</v>
      </c>
      <c r="D166" s="17" t="s">
        <v>13</v>
      </c>
      <c r="E166" s="17" t="s">
        <v>655</v>
      </c>
      <c r="F166" s="17" t="s">
        <v>523</v>
      </c>
      <c r="G166" s="4" t="s">
        <v>577</v>
      </c>
      <c r="H166" s="34"/>
      <c r="I166" s="41"/>
    </row>
    <row r="167" spans="1:9" ht="22.5" customHeight="1" x14ac:dyDescent="0.3">
      <c r="A167" s="6">
        <v>160</v>
      </c>
      <c r="B167" s="17" t="s">
        <v>617</v>
      </c>
      <c r="C167" s="48">
        <v>322443</v>
      </c>
      <c r="D167" s="17" t="s">
        <v>13</v>
      </c>
      <c r="E167" s="17" t="s">
        <v>656</v>
      </c>
      <c r="F167" s="17" t="s">
        <v>657</v>
      </c>
      <c r="G167" s="4" t="s">
        <v>577</v>
      </c>
      <c r="H167" s="34"/>
      <c r="I167" s="17"/>
    </row>
    <row r="168" spans="1:9" ht="22.5" customHeight="1" x14ac:dyDescent="0.3">
      <c r="A168" s="6">
        <v>161</v>
      </c>
      <c r="B168" s="17" t="s">
        <v>617</v>
      </c>
      <c r="C168" s="48">
        <v>323765</v>
      </c>
      <c r="D168" s="17" t="s">
        <v>13</v>
      </c>
      <c r="E168" s="17" t="s">
        <v>658</v>
      </c>
      <c r="F168" s="17" t="s">
        <v>657</v>
      </c>
      <c r="G168" s="4" t="s">
        <v>577</v>
      </c>
      <c r="H168" s="34"/>
      <c r="I168" s="17"/>
    </row>
    <row r="169" spans="1:9" ht="22.5" customHeight="1" x14ac:dyDescent="0.3">
      <c r="A169" s="6">
        <v>162</v>
      </c>
      <c r="B169" s="17" t="s">
        <v>659</v>
      </c>
      <c r="C169" s="17" t="s">
        <v>660</v>
      </c>
      <c r="D169" s="17" t="s">
        <v>13</v>
      </c>
      <c r="E169" s="17" t="s">
        <v>661</v>
      </c>
      <c r="F169" s="17" t="s">
        <v>49</v>
      </c>
      <c r="G169" s="4" t="s">
        <v>577</v>
      </c>
      <c r="H169" s="34"/>
      <c r="I169" s="17"/>
    </row>
    <row r="170" spans="1:9" ht="22.5" customHeight="1" x14ac:dyDescent="0.3">
      <c r="A170" s="6">
        <v>163</v>
      </c>
      <c r="B170" s="17" t="s">
        <v>659</v>
      </c>
      <c r="C170" s="17" t="s">
        <v>662</v>
      </c>
      <c r="D170" s="17" t="s">
        <v>13</v>
      </c>
      <c r="E170" s="17" t="s">
        <v>663</v>
      </c>
      <c r="F170" s="17" t="s">
        <v>49</v>
      </c>
      <c r="G170" s="4" t="s">
        <v>577</v>
      </c>
      <c r="H170" s="34"/>
      <c r="I170" s="17"/>
    </row>
    <row r="171" spans="1:9" ht="22.5" customHeight="1" x14ac:dyDescent="0.3">
      <c r="A171" s="6">
        <v>164</v>
      </c>
      <c r="B171" s="17" t="s">
        <v>659</v>
      </c>
      <c r="C171" s="17" t="s">
        <v>664</v>
      </c>
      <c r="D171" s="17" t="s">
        <v>13</v>
      </c>
      <c r="E171" s="17" t="s">
        <v>665</v>
      </c>
      <c r="F171" s="17" t="s">
        <v>49</v>
      </c>
      <c r="G171" s="4" t="s">
        <v>577</v>
      </c>
      <c r="H171" s="34"/>
      <c r="I171" s="17"/>
    </row>
    <row r="172" spans="1:9" ht="22.5" customHeight="1" x14ac:dyDescent="0.3">
      <c r="A172" s="6">
        <v>165</v>
      </c>
      <c r="B172" s="17" t="s">
        <v>659</v>
      </c>
      <c r="C172" s="17" t="s">
        <v>666</v>
      </c>
      <c r="D172" s="17" t="s">
        <v>13</v>
      </c>
      <c r="E172" s="17" t="s">
        <v>667</v>
      </c>
      <c r="F172" s="17" t="s">
        <v>49</v>
      </c>
      <c r="G172" s="4" t="s">
        <v>577</v>
      </c>
      <c r="H172" s="34"/>
      <c r="I172" s="17"/>
    </row>
    <row r="173" spans="1:9" ht="22.5" customHeight="1" x14ac:dyDescent="0.3">
      <c r="A173" s="6">
        <v>166</v>
      </c>
      <c r="B173" s="17" t="s">
        <v>659</v>
      </c>
      <c r="C173" s="48">
        <v>325948</v>
      </c>
      <c r="D173" s="17" t="s">
        <v>13</v>
      </c>
      <c r="E173" s="17" t="s">
        <v>668</v>
      </c>
      <c r="F173" s="17" t="s">
        <v>71</v>
      </c>
      <c r="G173" s="4" t="s">
        <v>577</v>
      </c>
      <c r="H173" s="34"/>
      <c r="I173" s="17"/>
    </row>
    <row r="174" spans="1:9" ht="22.5" customHeight="1" x14ac:dyDescent="0.3">
      <c r="A174" s="6">
        <v>167</v>
      </c>
      <c r="B174" s="17" t="s">
        <v>659</v>
      </c>
      <c r="C174" s="48">
        <v>330100</v>
      </c>
      <c r="D174" s="17" t="s">
        <v>13</v>
      </c>
      <c r="E174" s="17" t="s">
        <v>669</v>
      </c>
      <c r="F174" s="17" t="s">
        <v>58</v>
      </c>
      <c r="G174" s="4" t="s">
        <v>577</v>
      </c>
      <c r="H174" s="34"/>
      <c r="I174" s="17"/>
    </row>
    <row r="175" spans="1:9" ht="22.5" customHeight="1" x14ac:dyDescent="0.3">
      <c r="A175" s="6">
        <v>168</v>
      </c>
      <c r="B175" s="17" t="s">
        <v>659</v>
      </c>
      <c r="C175" s="48">
        <v>331460</v>
      </c>
      <c r="D175" s="17" t="s">
        <v>13</v>
      </c>
      <c r="E175" s="17" t="s">
        <v>670</v>
      </c>
      <c r="F175" s="17" t="s">
        <v>71</v>
      </c>
      <c r="G175" s="4" t="s">
        <v>577</v>
      </c>
      <c r="H175" s="34"/>
      <c r="I175" s="17"/>
    </row>
    <row r="176" spans="1:9" ht="22.5" customHeight="1" x14ac:dyDescent="0.3">
      <c r="A176" s="6">
        <v>169</v>
      </c>
      <c r="B176" s="17" t="s">
        <v>659</v>
      </c>
      <c r="C176" s="48">
        <v>339200</v>
      </c>
      <c r="D176" s="17" t="s">
        <v>13</v>
      </c>
      <c r="E176" s="17" t="s">
        <v>671</v>
      </c>
      <c r="F176" s="17" t="s">
        <v>71</v>
      </c>
      <c r="G176" s="4" t="s">
        <v>577</v>
      </c>
      <c r="H176" s="34"/>
      <c r="I176" s="17"/>
    </row>
    <row r="177" spans="1:10" ht="22.5" customHeight="1" x14ac:dyDescent="0.3">
      <c r="A177" s="6">
        <v>170</v>
      </c>
      <c r="B177" s="17" t="s">
        <v>659</v>
      </c>
      <c r="C177" s="48">
        <v>340730</v>
      </c>
      <c r="D177" s="17" t="s">
        <v>13</v>
      </c>
      <c r="E177" s="17" t="s">
        <v>672</v>
      </c>
      <c r="F177" s="17" t="s">
        <v>523</v>
      </c>
      <c r="G177" s="4" t="s">
        <v>577</v>
      </c>
      <c r="H177" s="34"/>
      <c r="I177" s="17"/>
    </row>
    <row r="178" spans="1:10" ht="22.5" customHeight="1" x14ac:dyDescent="0.3">
      <c r="A178" s="6">
        <v>171</v>
      </c>
      <c r="B178" s="17" t="s">
        <v>659</v>
      </c>
      <c r="C178" s="48">
        <v>345730</v>
      </c>
      <c r="D178" s="17" t="s">
        <v>13</v>
      </c>
      <c r="E178" s="17" t="s">
        <v>673</v>
      </c>
      <c r="F178" s="17" t="s">
        <v>71</v>
      </c>
      <c r="G178" s="4" t="s">
        <v>577</v>
      </c>
      <c r="H178" s="34"/>
      <c r="I178" s="17"/>
    </row>
    <row r="179" spans="1:10" ht="22.5" customHeight="1" x14ac:dyDescent="0.3">
      <c r="A179" s="6">
        <v>172</v>
      </c>
      <c r="B179" s="17" t="s">
        <v>659</v>
      </c>
      <c r="C179" s="48">
        <v>276875</v>
      </c>
      <c r="D179" s="17" t="s">
        <v>13</v>
      </c>
      <c r="E179" s="17" t="s">
        <v>674</v>
      </c>
      <c r="F179" s="17" t="s">
        <v>71</v>
      </c>
      <c r="G179" s="4" t="s">
        <v>577</v>
      </c>
      <c r="H179" s="34"/>
      <c r="I179" s="17"/>
    </row>
    <row r="180" spans="1:10" ht="22.5" customHeight="1" x14ac:dyDescent="0.3">
      <c r="A180" s="6">
        <v>173</v>
      </c>
      <c r="B180" s="17" t="s">
        <v>659</v>
      </c>
      <c r="C180" s="48">
        <v>282900</v>
      </c>
      <c r="D180" s="17" t="s">
        <v>13</v>
      </c>
      <c r="E180" s="17" t="s">
        <v>675</v>
      </c>
      <c r="F180" s="17" t="s">
        <v>71</v>
      </c>
      <c r="G180" s="4" t="s">
        <v>577</v>
      </c>
      <c r="H180" s="34"/>
      <c r="I180" s="17"/>
    </row>
    <row r="181" spans="1:10" ht="22.5" customHeight="1" x14ac:dyDescent="0.3">
      <c r="A181" s="6">
        <v>174</v>
      </c>
      <c r="B181" s="17" t="s">
        <v>659</v>
      </c>
      <c r="C181" s="48">
        <v>288600</v>
      </c>
      <c r="D181" s="17" t="s">
        <v>13</v>
      </c>
      <c r="E181" s="17" t="s">
        <v>676</v>
      </c>
      <c r="F181" s="17" t="s">
        <v>71</v>
      </c>
      <c r="G181" s="4" t="s">
        <v>577</v>
      </c>
      <c r="H181" s="34"/>
      <c r="I181" s="17"/>
    </row>
    <row r="182" spans="1:10" ht="22.5" customHeight="1" x14ac:dyDescent="0.3">
      <c r="A182" s="6">
        <v>175</v>
      </c>
      <c r="B182" s="17" t="s">
        <v>659</v>
      </c>
      <c r="C182" s="48">
        <v>294600</v>
      </c>
      <c r="D182" s="17" t="s">
        <v>13</v>
      </c>
      <c r="E182" s="17" t="s">
        <v>677</v>
      </c>
      <c r="F182" s="17" t="s">
        <v>71</v>
      </c>
      <c r="G182" s="4" t="s">
        <v>577</v>
      </c>
      <c r="H182" s="34"/>
      <c r="I182" s="17"/>
    </row>
    <row r="183" spans="1:10" ht="22.5" customHeight="1" x14ac:dyDescent="0.3">
      <c r="A183" s="6">
        <v>176</v>
      </c>
      <c r="B183" s="17" t="s">
        <v>659</v>
      </c>
      <c r="C183" s="48">
        <v>312690</v>
      </c>
      <c r="D183" s="17" t="s">
        <v>13</v>
      </c>
      <c r="E183" s="17" t="s">
        <v>678</v>
      </c>
      <c r="F183" s="17" t="s">
        <v>71</v>
      </c>
      <c r="G183" s="4" t="s">
        <v>577</v>
      </c>
      <c r="H183" s="34"/>
      <c r="I183" s="17"/>
    </row>
    <row r="184" spans="1:10" ht="22.5" customHeight="1" x14ac:dyDescent="0.3">
      <c r="A184" s="6">
        <v>177</v>
      </c>
      <c r="B184" s="17" t="s">
        <v>659</v>
      </c>
      <c r="C184" s="48">
        <v>313250</v>
      </c>
      <c r="D184" s="17" t="s">
        <v>13</v>
      </c>
      <c r="E184" s="17" t="s">
        <v>679</v>
      </c>
      <c r="F184" s="17" t="s">
        <v>71</v>
      </c>
      <c r="G184" s="4" t="s">
        <v>577</v>
      </c>
      <c r="H184" s="34"/>
      <c r="I184" s="17"/>
    </row>
    <row r="185" spans="1:10" ht="22.5" customHeight="1" x14ac:dyDescent="0.3">
      <c r="A185" s="6">
        <v>178</v>
      </c>
      <c r="B185" s="17" t="s">
        <v>659</v>
      </c>
      <c r="C185" s="48">
        <v>315580</v>
      </c>
      <c r="D185" s="17" t="s">
        <v>13</v>
      </c>
      <c r="E185" s="17" t="s">
        <v>680</v>
      </c>
      <c r="F185" s="17" t="s">
        <v>71</v>
      </c>
      <c r="G185" s="4" t="s">
        <v>577</v>
      </c>
      <c r="H185" s="34"/>
      <c r="I185" s="17"/>
    </row>
    <row r="186" spans="1:10" ht="22.5" customHeight="1" x14ac:dyDescent="0.3">
      <c r="A186" s="6">
        <v>179</v>
      </c>
      <c r="B186" s="17" t="s">
        <v>681</v>
      </c>
      <c r="C186" s="17" t="s">
        <v>682</v>
      </c>
      <c r="D186" s="17" t="s">
        <v>13</v>
      </c>
      <c r="E186" s="17" t="s">
        <v>683</v>
      </c>
      <c r="F186" s="17" t="s">
        <v>49</v>
      </c>
      <c r="G186" s="4" t="s">
        <v>577</v>
      </c>
      <c r="H186" s="34"/>
      <c r="I186" s="17"/>
    </row>
    <row r="187" spans="1:10" ht="22.5" customHeight="1" x14ac:dyDescent="0.3">
      <c r="A187" s="6">
        <v>180</v>
      </c>
      <c r="B187" s="17" t="s">
        <v>681</v>
      </c>
      <c r="C187" s="17" t="s">
        <v>684</v>
      </c>
      <c r="D187" s="17" t="s">
        <v>13</v>
      </c>
      <c r="E187" s="17" t="s">
        <v>685</v>
      </c>
      <c r="F187" s="17" t="s">
        <v>686</v>
      </c>
      <c r="G187" s="4" t="s">
        <v>577</v>
      </c>
      <c r="H187" s="34"/>
      <c r="I187" s="17"/>
    </row>
    <row r="188" spans="1:10" ht="22.5" customHeight="1" x14ac:dyDescent="0.3">
      <c r="A188" s="6">
        <v>181</v>
      </c>
      <c r="B188" s="17" t="s">
        <v>687</v>
      </c>
      <c r="C188" s="17" t="s">
        <v>688</v>
      </c>
      <c r="D188" s="17" t="s">
        <v>13</v>
      </c>
      <c r="E188" s="17" t="s">
        <v>689</v>
      </c>
      <c r="F188" s="17" t="s">
        <v>49</v>
      </c>
      <c r="G188" s="4" t="s">
        <v>577</v>
      </c>
      <c r="H188" s="34"/>
      <c r="I188" s="17"/>
      <c r="J188" s="2">
        <v>22</v>
      </c>
    </row>
    <row r="189" spans="1:10" ht="22.5" customHeight="1" x14ac:dyDescent="0.3">
      <c r="A189" s="6">
        <v>182</v>
      </c>
      <c r="B189" s="17" t="s">
        <v>687</v>
      </c>
      <c r="C189" s="17" t="s">
        <v>690</v>
      </c>
      <c r="D189" s="17" t="s">
        <v>13</v>
      </c>
      <c r="E189" s="17" t="s">
        <v>691</v>
      </c>
      <c r="F189" s="17" t="s">
        <v>49</v>
      </c>
      <c r="G189" s="4" t="s">
        <v>577</v>
      </c>
      <c r="H189" s="34"/>
      <c r="I189" s="17"/>
    </row>
    <row r="190" spans="1:10" s="64" customFormat="1" ht="22.5" customHeight="1" x14ac:dyDescent="0.3">
      <c r="A190" s="62" t="s">
        <v>564</v>
      </c>
      <c r="B190" s="210" t="s">
        <v>563</v>
      </c>
      <c r="C190" s="210"/>
      <c r="D190" s="63"/>
      <c r="E190" s="63"/>
      <c r="F190" s="63"/>
      <c r="G190" s="65"/>
      <c r="H190" s="71">
        <f>COUNTA(H191:H397)</f>
        <v>94</v>
      </c>
      <c r="I190" s="63"/>
    </row>
    <row r="191" spans="1:10" ht="22.5" customHeight="1" x14ac:dyDescent="0.3">
      <c r="A191" s="4">
        <v>1</v>
      </c>
      <c r="B191" s="6" t="s">
        <v>12</v>
      </c>
      <c r="C191" s="6" t="s">
        <v>47</v>
      </c>
      <c r="D191" s="4" t="s">
        <v>13</v>
      </c>
      <c r="E191" s="6" t="s">
        <v>48</v>
      </c>
      <c r="F191" s="6" t="s">
        <v>49</v>
      </c>
      <c r="G191" s="4" t="s">
        <v>577</v>
      </c>
      <c r="H191" s="34">
        <v>9</v>
      </c>
      <c r="I191" s="4"/>
    </row>
    <row r="192" spans="1:10" ht="22.5" customHeight="1" x14ac:dyDescent="0.3">
      <c r="A192" s="4">
        <v>2</v>
      </c>
      <c r="B192" s="6" t="s">
        <v>12</v>
      </c>
      <c r="C192" s="6" t="s">
        <v>50</v>
      </c>
      <c r="D192" s="4" t="s">
        <v>13</v>
      </c>
      <c r="E192" s="6" t="s">
        <v>51</v>
      </c>
      <c r="F192" s="6" t="s">
        <v>49</v>
      </c>
      <c r="G192" s="4" t="s">
        <v>577</v>
      </c>
      <c r="H192" s="34">
        <v>9</v>
      </c>
      <c r="I192" s="4"/>
    </row>
    <row r="193" spans="1:9" ht="22.5" customHeight="1" x14ac:dyDescent="0.3">
      <c r="A193" s="4">
        <v>3</v>
      </c>
      <c r="B193" s="6" t="s">
        <v>12</v>
      </c>
      <c r="C193" s="6" t="s">
        <v>52</v>
      </c>
      <c r="D193" s="4" t="s">
        <v>13</v>
      </c>
      <c r="E193" s="6" t="s">
        <v>53</v>
      </c>
      <c r="F193" s="6" t="s">
        <v>49</v>
      </c>
      <c r="G193" s="4" t="s">
        <v>577</v>
      </c>
      <c r="H193" s="34">
        <v>13</v>
      </c>
      <c r="I193" s="4"/>
    </row>
    <row r="194" spans="1:9" ht="22.5" customHeight="1" x14ac:dyDescent="0.3">
      <c r="A194" s="4">
        <v>4</v>
      </c>
      <c r="B194" s="6" t="s">
        <v>12</v>
      </c>
      <c r="C194" s="6" t="s">
        <v>54</v>
      </c>
      <c r="D194" s="4" t="s">
        <v>13</v>
      </c>
      <c r="E194" s="6" t="s">
        <v>55</v>
      </c>
      <c r="F194" s="6"/>
      <c r="G194" s="4" t="s">
        <v>577</v>
      </c>
      <c r="H194" s="34">
        <v>14</v>
      </c>
      <c r="I194" s="4"/>
    </row>
    <row r="195" spans="1:9" ht="22.5" customHeight="1" x14ac:dyDescent="0.3">
      <c r="A195" s="4">
        <v>5</v>
      </c>
      <c r="B195" s="6" t="s">
        <v>12</v>
      </c>
      <c r="C195" s="6" t="s">
        <v>56</v>
      </c>
      <c r="D195" s="4" t="s">
        <v>13</v>
      </c>
      <c r="E195" s="6" t="s">
        <v>57</v>
      </c>
      <c r="F195" s="6" t="s">
        <v>58</v>
      </c>
      <c r="G195" s="4" t="s">
        <v>577</v>
      </c>
      <c r="H195" s="34">
        <v>9</v>
      </c>
      <c r="I195" s="4"/>
    </row>
    <row r="196" spans="1:9" ht="22.5" customHeight="1" x14ac:dyDescent="0.3">
      <c r="A196" s="4">
        <v>6</v>
      </c>
      <c r="B196" s="6" t="s">
        <v>12</v>
      </c>
      <c r="C196" s="6" t="s">
        <v>59</v>
      </c>
      <c r="D196" s="4" t="s">
        <v>13</v>
      </c>
      <c r="E196" s="6" t="s">
        <v>60</v>
      </c>
      <c r="F196" s="6"/>
      <c r="G196" s="4" t="s">
        <v>577</v>
      </c>
      <c r="H196" s="34">
        <v>9</v>
      </c>
      <c r="I196" s="4"/>
    </row>
    <row r="197" spans="1:9" ht="22.5" customHeight="1" x14ac:dyDescent="0.3">
      <c r="A197" s="4">
        <v>7</v>
      </c>
      <c r="B197" s="6" t="s">
        <v>12</v>
      </c>
      <c r="C197" s="6" t="s">
        <v>61</v>
      </c>
      <c r="D197" s="4" t="s">
        <v>13</v>
      </c>
      <c r="E197" s="6" t="s">
        <v>62</v>
      </c>
      <c r="F197" s="3"/>
      <c r="G197" s="4" t="s">
        <v>577</v>
      </c>
      <c r="H197" s="34">
        <v>9</v>
      </c>
      <c r="I197" s="4"/>
    </row>
    <row r="198" spans="1:9" ht="22.5" customHeight="1" x14ac:dyDescent="0.3">
      <c r="A198" s="4">
        <v>8</v>
      </c>
      <c r="B198" s="6" t="s">
        <v>12</v>
      </c>
      <c r="C198" s="6" t="s">
        <v>63</v>
      </c>
      <c r="D198" s="4" t="s">
        <v>13</v>
      </c>
      <c r="E198" s="6" t="s">
        <v>64</v>
      </c>
      <c r="F198" s="6" t="s">
        <v>49</v>
      </c>
      <c r="G198" s="4" t="s">
        <v>577</v>
      </c>
      <c r="H198" s="34">
        <v>9</v>
      </c>
      <c r="I198" s="4"/>
    </row>
    <row r="199" spans="1:9" ht="22.5" customHeight="1" x14ac:dyDescent="0.3">
      <c r="A199" s="4">
        <v>9</v>
      </c>
      <c r="B199" s="6" t="s">
        <v>12</v>
      </c>
      <c r="C199" s="6" t="s">
        <v>65</v>
      </c>
      <c r="D199" s="4" t="s">
        <v>13</v>
      </c>
      <c r="E199" s="6" t="s">
        <v>66</v>
      </c>
      <c r="F199" s="6" t="s">
        <v>49</v>
      </c>
      <c r="G199" s="4" t="s">
        <v>577</v>
      </c>
      <c r="H199" s="34">
        <v>7</v>
      </c>
      <c r="I199" s="4"/>
    </row>
    <row r="200" spans="1:9" ht="22.5" customHeight="1" x14ac:dyDescent="0.3">
      <c r="A200" s="4">
        <v>10</v>
      </c>
      <c r="B200" s="6" t="s">
        <v>12</v>
      </c>
      <c r="C200" s="6" t="s">
        <v>67</v>
      </c>
      <c r="D200" s="4" t="s">
        <v>13</v>
      </c>
      <c r="E200" s="6" t="s">
        <v>68</v>
      </c>
      <c r="F200" s="6" t="s">
        <v>49</v>
      </c>
      <c r="G200" s="4" t="s">
        <v>577</v>
      </c>
      <c r="H200" s="34">
        <v>8</v>
      </c>
      <c r="I200" s="4"/>
    </row>
    <row r="201" spans="1:9" ht="22.5" customHeight="1" x14ac:dyDescent="0.3">
      <c r="A201" s="4">
        <v>11</v>
      </c>
      <c r="B201" s="4" t="s">
        <v>14</v>
      </c>
      <c r="C201" s="4" t="s">
        <v>69</v>
      </c>
      <c r="D201" s="4" t="s">
        <v>13</v>
      </c>
      <c r="E201" s="4" t="s">
        <v>70</v>
      </c>
      <c r="F201" s="4" t="s">
        <v>71</v>
      </c>
      <c r="G201" s="4" t="s">
        <v>577</v>
      </c>
      <c r="H201" s="34">
        <v>6.5</v>
      </c>
      <c r="I201" s="4"/>
    </row>
    <row r="202" spans="1:9" ht="22.5" customHeight="1" x14ac:dyDescent="0.3">
      <c r="A202" s="4">
        <v>12</v>
      </c>
      <c r="B202" s="4" t="s">
        <v>14</v>
      </c>
      <c r="C202" s="4" t="s">
        <v>72</v>
      </c>
      <c r="D202" s="4" t="s">
        <v>13</v>
      </c>
      <c r="E202" s="4" t="s">
        <v>73</v>
      </c>
      <c r="F202" s="4" t="s">
        <v>71</v>
      </c>
      <c r="G202" s="4" t="s">
        <v>577</v>
      </c>
      <c r="H202" s="34">
        <v>8</v>
      </c>
      <c r="I202" s="4"/>
    </row>
    <row r="203" spans="1:9" ht="22.5" customHeight="1" x14ac:dyDescent="0.3">
      <c r="A203" s="4">
        <v>13</v>
      </c>
      <c r="B203" s="4" t="s">
        <v>14</v>
      </c>
      <c r="C203" s="4" t="s">
        <v>74</v>
      </c>
      <c r="D203" s="4" t="s">
        <v>13</v>
      </c>
      <c r="E203" s="4" t="s">
        <v>75</v>
      </c>
      <c r="F203" s="4" t="s">
        <v>71</v>
      </c>
      <c r="G203" s="4" t="s">
        <v>577</v>
      </c>
      <c r="H203" s="34">
        <v>7</v>
      </c>
      <c r="I203" s="4"/>
    </row>
    <row r="204" spans="1:9" ht="22.5" customHeight="1" x14ac:dyDescent="0.3">
      <c r="A204" s="4">
        <v>14</v>
      </c>
      <c r="B204" s="4" t="s">
        <v>14</v>
      </c>
      <c r="C204" s="4" t="s">
        <v>76</v>
      </c>
      <c r="D204" s="4" t="s">
        <v>13</v>
      </c>
      <c r="E204" s="4" t="s">
        <v>77</v>
      </c>
      <c r="F204" s="4" t="s">
        <v>71</v>
      </c>
      <c r="G204" s="4" t="s">
        <v>577</v>
      </c>
      <c r="H204" s="34">
        <v>7</v>
      </c>
      <c r="I204" s="4"/>
    </row>
    <row r="205" spans="1:9" ht="22.5" customHeight="1" x14ac:dyDescent="0.3">
      <c r="A205" s="4">
        <v>15</v>
      </c>
      <c r="B205" s="4" t="s">
        <v>15</v>
      </c>
      <c r="C205" s="6" t="s">
        <v>78</v>
      </c>
      <c r="D205" s="4" t="s">
        <v>13</v>
      </c>
      <c r="E205" s="6" t="s">
        <v>79</v>
      </c>
      <c r="F205" s="6" t="s">
        <v>49</v>
      </c>
      <c r="G205" s="4" t="s">
        <v>577</v>
      </c>
      <c r="H205" s="34">
        <v>6</v>
      </c>
      <c r="I205" s="4"/>
    </row>
    <row r="206" spans="1:9" ht="22.5" customHeight="1" x14ac:dyDescent="0.3">
      <c r="A206" s="4">
        <v>16</v>
      </c>
      <c r="B206" s="4" t="s">
        <v>15</v>
      </c>
      <c r="C206" s="6" t="s">
        <v>80</v>
      </c>
      <c r="D206" s="4" t="s">
        <v>13</v>
      </c>
      <c r="E206" s="6" t="s">
        <v>81</v>
      </c>
      <c r="F206" s="6" t="s">
        <v>49</v>
      </c>
      <c r="G206" s="4" t="s">
        <v>577</v>
      </c>
      <c r="H206" s="34">
        <v>6.5</v>
      </c>
      <c r="I206" s="4"/>
    </row>
    <row r="207" spans="1:9" ht="22.5" customHeight="1" x14ac:dyDescent="0.3">
      <c r="A207" s="4">
        <v>17</v>
      </c>
      <c r="B207" s="4" t="s">
        <v>15</v>
      </c>
      <c r="C207" s="6" t="s">
        <v>82</v>
      </c>
      <c r="D207" s="4" t="s">
        <v>13</v>
      </c>
      <c r="E207" s="6" t="s">
        <v>79</v>
      </c>
      <c r="F207" s="6" t="s">
        <v>49</v>
      </c>
      <c r="G207" s="4" t="s">
        <v>577</v>
      </c>
      <c r="H207" s="34">
        <v>6</v>
      </c>
      <c r="I207" s="4"/>
    </row>
    <row r="208" spans="1:9" ht="22.5" customHeight="1" x14ac:dyDescent="0.3">
      <c r="A208" s="4">
        <v>18</v>
      </c>
      <c r="B208" s="4" t="s">
        <v>15</v>
      </c>
      <c r="C208" s="6" t="s">
        <v>83</v>
      </c>
      <c r="D208" s="4" t="s">
        <v>13</v>
      </c>
      <c r="E208" s="6" t="s">
        <v>79</v>
      </c>
      <c r="F208" s="6" t="s">
        <v>49</v>
      </c>
      <c r="G208" s="4" t="s">
        <v>577</v>
      </c>
      <c r="H208" s="34">
        <v>6</v>
      </c>
      <c r="I208" s="4"/>
    </row>
    <row r="209" spans="1:9" ht="22.5" customHeight="1" x14ac:dyDescent="0.3">
      <c r="A209" s="4">
        <v>19</v>
      </c>
      <c r="B209" s="4" t="s">
        <v>15</v>
      </c>
      <c r="C209" s="6" t="s">
        <v>84</v>
      </c>
      <c r="D209" s="4" t="s">
        <v>13</v>
      </c>
      <c r="E209" s="6" t="s">
        <v>85</v>
      </c>
      <c r="F209" s="6" t="s">
        <v>49</v>
      </c>
      <c r="G209" s="4" t="s">
        <v>577</v>
      </c>
      <c r="H209" s="34">
        <v>7</v>
      </c>
      <c r="I209" s="4"/>
    </row>
    <row r="210" spans="1:9" ht="22.5" customHeight="1" x14ac:dyDescent="0.3">
      <c r="A210" s="4">
        <v>20</v>
      </c>
      <c r="B210" s="4" t="s">
        <v>15</v>
      </c>
      <c r="C210" s="6" t="s">
        <v>86</v>
      </c>
      <c r="D210" s="4" t="s">
        <v>13</v>
      </c>
      <c r="E210" s="6" t="s">
        <v>87</v>
      </c>
      <c r="F210" s="6" t="s">
        <v>49</v>
      </c>
      <c r="G210" s="4" t="s">
        <v>577</v>
      </c>
      <c r="H210" s="34">
        <v>6.5</v>
      </c>
      <c r="I210" s="4"/>
    </row>
    <row r="211" spans="1:9" ht="22.5" customHeight="1" x14ac:dyDescent="0.3">
      <c r="A211" s="4">
        <v>21</v>
      </c>
      <c r="B211" s="4" t="s">
        <v>15</v>
      </c>
      <c r="C211" s="6" t="s">
        <v>88</v>
      </c>
      <c r="D211" s="4" t="s">
        <v>13</v>
      </c>
      <c r="E211" s="6" t="s">
        <v>89</v>
      </c>
      <c r="F211" s="6" t="s">
        <v>58</v>
      </c>
      <c r="G211" s="4" t="s">
        <v>577</v>
      </c>
      <c r="H211" s="34">
        <v>8</v>
      </c>
      <c r="I211" s="4"/>
    </row>
    <row r="212" spans="1:9" ht="22.5" customHeight="1" x14ac:dyDescent="0.3">
      <c r="A212" s="4">
        <v>22</v>
      </c>
      <c r="B212" s="4" t="s">
        <v>15</v>
      </c>
      <c r="C212" s="6" t="s">
        <v>90</v>
      </c>
      <c r="D212" s="4" t="s">
        <v>13</v>
      </c>
      <c r="E212" s="6" t="s">
        <v>91</v>
      </c>
      <c r="F212" s="6" t="s">
        <v>58</v>
      </c>
      <c r="G212" s="4" t="s">
        <v>577</v>
      </c>
      <c r="H212" s="34">
        <v>8</v>
      </c>
      <c r="I212" s="4"/>
    </row>
    <row r="213" spans="1:9" ht="22.5" customHeight="1" x14ac:dyDescent="0.3">
      <c r="A213" s="4">
        <v>23</v>
      </c>
      <c r="B213" s="4" t="s">
        <v>15</v>
      </c>
      <c r="C213" s="6" t="s">
        <v>92</v>
      </c>
      <c r="D213" s="4" t="s">
        <v>13</v>
      </c>
      <c r="E213" s="6" t="s">
        <v>93</v>
      </c>
      <c r="F213" s="6" t="s">
        <v>58</v>
      </c>
      <c r="G213" s="4" t="s">
        <v>577</v>
      </c>
      <c r="H213" s="34">
        <v>8</v>
      </c>
      <c r="I213" s="4"/>
    </row>
    <row r="214" spans="1:9" ht="22.5" customHeight="1" x14ac:dyDescent="0.3">
      <c r="A214" s="4">
        <v>24</v>
      </c>
      <c r="B214" s="4" t="s">
        <v>15</v>
      </c>
      <c r="C214" s="6" t="s">
        <v>94</v>
      </c>
      <c r="D214" s="4" t="s">
        <v>13</v>
      </c>
      <c r="E214" s="6" t="s">
        <v>85</v>
      </c>
      <c r="F214" s="6" t="s">
        <v>49</v>
      </c>
      <c r="G214" s="4" t="s">
        <v>577</v>
      </c>
      <c r="H214" s="34">
        <v>7</v>
      </c>
      <c r="I214" s="4"/>
    </row>
    <row r="215" spans="1:9" ht="22.5" customHeight="1" x14ac:dyDescent="0.3">
      <c r="A215" s="4">
        <v>25</v>
      </c>
      <c r="B215" s="6" t="s">
        <v>16</v>
      </c>
      <c r="C215" s="6" t="s">
        <v>95</v>
      </c>
      <c r="D215" s="4" t="s">
        <v>13</v>
      </c>
      <c r="E215" s="4" t="s">
        <v>96</v>
      </c>
      <c r="F215" s="4" t="s">
        <v>71</v>
      </c>
      <c r="G215" s="4" t="s">
        <v>577</v>
      </c>
      <c r="H215" s="34">
        <v>7</v>
      </c>
      <c r="I215" s="4"/>
    </row>
    <row r="216" spans="1:9" ht="22.5" customHeight="1" x14ac:dyDescent="0.3">
      <c r="A216" s="4">
        <v>26</v>
      </c>
      <c r="B216" s="6" t="s">
        <v>16</v>
      </c>
      <c r="C216" s="6" t="s">
        <v>97</v>
      </c>
      <c r="D216" s="4" t="s">
        <v>13</v>
      </c>
      <c r="E216" s="4" t="s">
        <v>68</v>
      </c>
      <c r="F216" s="4" t="s">
        <v>58</v>
      </c>
      <c r="G216" s="4" t="s">
        <v>577</v>
      </c>
      <c r="H216" s="34">
        <v>8</v>
      </c>
      <c r="I216" s="4"/>
    </row>
    <row r="217" spans="1:9" ht="22.5" customHeight="1" x14ac:dyDescent="0.3">
      <c r="A217" s="4">
        <v>27</v>
      </c>
      <c r="B217" s="6" t="s">
        <v>16</v>
      </c>
      <c r="C217" s="6" t="s">
        <v>98</v>
      </c>
      <c r="D217" s="4" t="s">
        <v>13</v>
      </c>
      <c r="E217" s="4" t="s">
        <v>68</v>
      </c>
      <c r="F217" s="4" t="s">
        <v>58</v>
      </c>
      <c r="G217" s="4" t="s">
        <v>577</v>
      </c>
      <c r="H217" s="34">
        <v>8</v>
      </c>
      <c r="I217" s="4"/>
    </row>
    <row r="218" spans="1:9" ht="22.5" customHeight="1" x14ac:dyDescent="0.3">
      <c r="A218" s="4">
        <v>28</v>
      </c>
      <c r="B218" s="6" t="s">
        <v>16</v>
      </c>
      <c r="C218" s="6" t="s">
        <v>99</v>
      </c>
      <c r="D218" s="4" t="s">
        <v>13</v>
      </c>
      <c r="E218" s="4" t="s">
        <v>100</v>
      </c>
      <c r="F218" s="4" t="s">
        <v>58</v>
      </c>
      <c r="G218" s="4" t="s">
        <v>577</v>
      </c>
      <c r="H218" s="34">
        <v>15</v>
      </c>
      <c r="I218" s="4"/>
    </row>
    <row r="219" spans="1:9" ht="22.5" customHeight="1" x14ac:dyDescent="0.3">
      <c r="A219" s="4">
        <v>29</v>
      </c>
      <c r="B219" s="6" t="s">
        <v>16</v>
      </c>
      <c r="C219" s="6" t="s">
        <v>101</v>
      </c>
      <c r="D219" s="4" t="s">
        <v>13</v>
      </c>
      <c r="E219" s="4" t="s">
        <v>102</v>
      </c>
      <c r="F219" s="4" t="s">
        <v>58</v>
      </c>
      <c r="G219" s="4" t="s">
        <v>577</v>
      </c>
      <c r="H219" s="34">
        <v>11</v>
      </c>
      <c r="I219" s="4"/>
    </row>
    <row r="220" spans="1:9" ht="22.5" customHeight="1" x14ac:dyDescent="0.3">
      <c r="A220" s="4">
        <v>30</v>
      </c>
      <c r="B220" s="4" t="s">
        <v>103</v>
      </c>
      <c r="C220" s="6" t="s">
        <v>104</v>
      </c>
      <c r="D220" s="4" t="s">
        <v>13</v>
      </c>
      <c r="E220" s="4" t="s">
        <v>105</v>
      </c>
      <c r="F220" s="4"/>
      <c r="G220" s="4"/>
      <c r="H220" s="34"/>
      <c r="I220" s="56" t="s">
        <v>167</v>
      </c>
    </row>
    <row r="221" spans="1:9" ht="22.5" customHeight="1" x14ac:dyDescent="0.3">
      <c r="A221" s="4">
        <v>31</v>
      </c>
      <c r="B221" s="49" t="s">
        <v>19</v>
      </c>
      <c r="C221" s="50" t="s">
        <v>106</v>
      </c>
      <c r="D221" s="51" t="s">
        <v>13</v>
      </c>
      <c r="E221" s="51" t="s">
        <v>107</v>
      </c>
      <c r="F221" s="51" t="s">
        <v>49</v>
      </c>
      <c r="G221" s="51"/>
      <c r="H221" s="51"/>
      <c r="I221" s="56" t="s">
        <v>167</v>
      </c>
    </row>
    <row r="222" spans="1:9" ht="22.5" customHeight="1" x14ac:dyDescent="0.3">
      <c r="A222" s="4">
        <v>32</v>
      </c>
      <c r="B222" s="52" t="s">
        <v>19</v>
      </c>
      <c r="C222" s="53" t="s">
        <v>108</v>
      </c>
      <c r="D222" s="54" t="s">
        <v>13</v>
      </c>
      <c r="E222" s="54" t="s">
        <v>68</v>
      </c>
      <c r="F222" s="54" t="s">
        <v>49</v>
      </c>
      <c r="G222" s="54" t="s">
        <v>577</v>
      </c>
      <c r="H222" s="54">
        <v>9</v>
      </c>
      <c r="I222" s="54"/>
    </row>
    <row r="223" spans="1:9" ht="22.5" customHeight="1" x14ac:dyDescent="0.3">
      <c r="A223" s="4">
        <v>33</v>
      </c>
      <c r="B223" s="52" t="s">
        <v>19</v>
      </c>
      <c r="C223" s="53" t="s">
        <v>109</v>
      </c>
      <c r="D223" s="54" t="s">
        <v>13</v>
      </c>
      <c r="E223" s="54" t="s">
        <v>68</v>
      </c>
      <c r="F223" s="54" t="s">
        <v>49</v>
      </c>
      <c r="G223" s="54" t="s">
        <v>577</v>
      </c>
      <c r="H223" s="54">
        <v>7</v>
      </c>
      <c r="I223" s="54"/>
    </row>
    <row r="224" spans="1:9" ht="22.5" customHeight="1" x14ac:dyDescent="0.3">
      <c r="A224" s="4">
        <v>34</v>
      </c>
      <c r="B224" s="52" t="s">
        <v>19</v>
      </c>
      <c r="C224" s="53" t="s">
        <v>110</v>
      </c>
      <c r="D224" s="54" t="s">
        <v>13</v>
      </c>
      <c r="E224" s="54" t="s">
        <v>68</v>
      </c>
      <c r="F224" s="54" t="s">
        <v>49</v>
      </c>
      <c r="G224" s="54" t="s">
        <v>577</v>
      </c>
      <c r="H224" s="54">
        <v>7</v>
      </c>
      <c r="I224" s="54"/>
    </row>
    <row r="225" spans="1:9" ht="22.5" customHeight="1" x14ac:dyDescent="0.3">
      <c r="A225" s="4">
        <v>35</v>
      </c>
      <c r="B225" s="52" t="s">
        <v>19</v>
      </c>
      <c r="C225" s="53" t="s">
        <v>111</v>
      </c>
      <c r="D225" s="54" t="s">
        <v>13</v>
      </c>
      <c r="E225" s="54" t="s">
        <v>112</v>
      </c>
      <c r="F225" s="54" t="s">
        <v>58</v>
      </c>
      <c r="G225" s="54" t="s">
        <v>577</v>
      </c>
      <c r="H225" s="54">
        <v>8.5250000000000004</v>
      </c>
      <c r="I225" s="54"/>
    </row>
    <row r="226" spans="1:9" ht="22.5" customHeight="1" x14ac:dyDescent="0.3">
      <c r="A226" s="4">
        <v>36</v>
      </c>
      <c r="B226" s="52" t="s">
        <v>19</v>
      </c>
      <c r="C226" s="53" t="s">
        <v>113</v>
      </c>
      <c r="D226" s="54" t="s">
        <v>13</v>
      </c>
      <c r="E226" s="54" t="s">
        <v>114</v>
      </c>
      <c r="F226" s="54" t="s">
        <v>49</v>
      </c>
      <c r="G226" s="54" t="s">
        <v>577</v>
      </c>
      <c r="H226" s="54">
        <v>5.5</v>
      </c>
      <c r="I226" s="54"/>
    </row>
    <row r="227" spans="1:9" ht="22.5" customHeight="1" x14ac:dyDescent="0.3">
      <c r="A227" s="4">
        <v>37</v>
      </c>
      <c r="B227" s="52" t="s">
        <v>19</v>
      </c>
      <c r="C227" s="53" t="s">
        <v>115</v>
      </c>
      <c r="D227" s="54" t="s">
        <v>13</v>
      </c>
      <c r="E227" s="54" t="s">
        <v>116</v>
      </c>
      <c r="F227" s="54" t="s">
        <v>49</v>
      </c>
      <c r="G227" s="54" t="s">
        <v>577</v>
      </c>
      <c r="H227" s="54">
        <v>5</v>
      </c>
      <c r="I227" s="54"/>
    </row>
    <row r="228" spans="1:9" ht="22.5" customHeight="1" x14ac:dyDescent="0.3">
      <c r="A228" s="4">
        <v>38</v>
      </c>
      <c r="B228" s="52" t="s">
        <v>19</v>
      </c>
      <c r="C228" s="53" t="s">
        <v>117</v>
      </c>
      <c r="D228" s="54" t="s">
        <v>13</v>
      </c>
      <c r="E228" s="54" t="s">
        <v>118</v>
      </c>
      <c r="F228" s="54" t="s">
        <v>49</v>
      </c>
      <c r="G228" s="54" t="s">
        <v>577</v>
      </c>
      <c r="H228" s="54">
        <v>5</v>
      </c>
      <c r="I228" s="54"/>
    </row>
    <row r="229" spans="1:9" ht="22.5" customHeight="1" x14ac:dyDescent="0.3">
      <c r="A229" s="4">
        <v>39</v>
      </c>
      <c r="B229" s="6" t="s">
        <v>143</v>
      </c>
      <c r="C229" s="6" t="s">
        <v>144</v>
      </c>
      <c r="D229" s="4" t="s">
        <v>13</v>
      </c>
      <c r="E229" s="6" t="s">
        <v>145</v>
      </c>
      <c r="F229" s="6" t="s">
        <v>58</v>
      </c>
      <c r="G229" s="4" t="s">
        <v>577</v>
      </c>
      <c r="H229" s="34">
        <v>8</v>
      </c>
      <c r="I229" s="4"/>
    </row>
    <row r="230" spans="1:9" ht="22.5" customHeight="1" x14ac:dyDescent="0.3">
      <c r="A230" s="4">
        <v>40</v>
      </c>
      <c r="B230" s="6" t="s">
        <v>143</v>
      </c>
      <c r="C230" s="6" t="s">
        <v>146</v>
      </c>
      <c r="D230" s="4" t="s">
        <v>13</v>
      </c>
      <c r="E230" s="6" t="s">
        <v>147</v>
      </c>
      <c r="F230" s="6" t="s">
        <v>58</v>
      </c>
      <c r="G230" s="4" t="s">
        <v>577</v>
      </c>
      <c r="H230" s="34">
        <v>7</v>
      </c>
      <c r="I230" s="4"/>
    </row>
    <row r="231" spans="1:9" ht="22.5" customHeight="1" x14ac:dyDescent="0.3">
      <c r="A231" s="4">
        <v>41</v>
      </c>
      <c r="B231" s="6" t="s">
        <v>143</v>
      </c>
      <c r="C231" s="6" t="s">
        <v>148</v>
      </c>
      <c r="D231" s="4" t="s">
        <v>13</v>
      </c>
      <c r="E231" s="6" t="s">
        <v>149</v>
      </c>
      <c r="F231" s="6" t="s">
        <v>71</v>
      </c>
      <c r="G231" s="4" t="s">
        <v>577</v>
      </c>
      <c r="H231" s="34">
        <v>6</v>
      </c>
      <c r="I231" s="4"/>
    </row>
    <row r="232" spans="1:9" ht="22.5" customHeight="1" x14ac:dyDescent="0.3">
      <c r="A232" s="4">
        <v>42</v>
      </c>
      <c r="B232" s="55" t="s">
        <v>150</v>
      </c>
      <c r="C232" s="56" t="s">
        <v>151</v>
      </c>
      <c r="D232" s="51" t="s">
        <v>13</v>
      </c>
      <c r="E232" s="51" t="s">
        <v>68</v>
      </c>
      <c r="F232" s="51" t="s">
        <v>58</v>
      </c>
      <c r="G232" s="53"/>
      <c r="H232" s="53"/>
      <c r="I232" s="57" t="s">
        <v>167</v>
      </c>
    </row>
    <row r="233" spans="1:9" ht="22.5" customHeight="1" x14ac:dyDescent="0.3">
      <c r="A233" s="4">
        <v>43</v>
      </c>
      <c r="B233" s="53" t="s">
        <v>150</v>
      </c>
      <c r="C233" s="53" t="s">
        <v>152</v>
      </c>
      <c r="D233" s="57" t="s">
        <v>13</v>
      </c>
      <c r="E233" s="53" t="s">
        <v>153</v>
      </c>
      <c r="F233" s="53" t="s">
        <v>58</v>
      </c>
      <c r="G233" s="53"/>
      <c r="H233" s="53"/>
      <c r="I233" s="57" t="s">
        <v>167</v>
      </c>
    </row>
    <row r="234" spans="1:9" ht="22.5" customHeight="1" x14ac:dyDescent="0.3">
      <c r="A234" s="4">
        <v>44</v>
      </c>
      <c r="B234" s="53" t="s">
        <v>150</v>
      </c>
      <c r="C234" s="53" t="s">
        <v>154</v>
      </c>
      <c r="D234" s="57" t="s">
        <v>13</v>
      </c>
      <c r="E234" s="53" t="s">
        <v>155</v>
      </c>
      <c r="F234" s="53" t="s">
        <v>58</v>
      </c>
      <c r="G234" s="53"/>
      <c r="H234" s="53"/>
      <c r="I234" s="57" t="s">
        <v>167</v>
      </c>
    </row>
    <row r="235" spans="1:9" ht="22.5" customHeight="1" x14ac:dyDescent="0.3">
      <c r="A235" s="4">
        <v>45</v>
      </c>
      <c r="B235" s="53" t="s">
        <v>150</v>
      </c>
      <c r="C235" s="53" t="s">
        <v>151</v>
      </c>
      <c r="D235" s="57" t="s">
        <v>13</v>
      </c>
      <c r="E235" s="53" t="s">
        <v>156</v>
      </c>
      <c r="F235" s="53" t="s">
        <v>58</v>
      </c>
      <c r="G235" s="53"/>
      <c r="H235" s="53"/>
      <c r="I235" s="57" t="s">
        <v>167</v>
      </c>
    </row>
    <row r="236" spans="1:9" ht="22.5" customHeight="1" x14ac:dyDescent="0.3">
      <c r="A236" s="4">
        <v>46</v>
      </c>
      <c r="B236" s="53" t="s">
        <v>150</v>
      </c>
      <c r="C236" s="53" t="s">
        <v>157</v>
      </c>
      <c r="D236" s="57" t="s">
        <v>13</v>
      </c>
      <c r="E236" s="53" t="s">
        <v>68</v>
      </c>
      <c r="F236" s="53" t="s">
        <v>71</v>
      </c>
      <c r="G236" s="53" t="s">
        <v>577</v>
      </c>
      <c r="H236" s="53">
        <v>7</v>
      </c>
      <c r="I236" s="57"/>
    </row>
    <row r="237" spans="1:9" ht="22.5" customHeight="1" x14ac:dyDescent="0.3">
      <c r="A237" s="4">
        <v>47</v>
      </c>
      <c r="B237" s="53" t="s">
        <v>150</v>
      </c>
      <c r="C237" s="53" t="s">
        <v>158</v>
      </c>
      <c r="D237" s="57" t="s">
        <v>13</v>
      </c>
      <c r="E237" s="53" t="s">
        <v>68</v>
      </c>
      <c r="F237" s="53" t="s">
        <v>71</v>
      </c>
      <c r="G237" s="53" t="s">
        <v>577</v>
      </c>
      <c r="H237" s="53">
        <v>5</v>
      </c>
      <c r="I237" s="57"/>
    </row>
    <row r="238" spans="1:9" ht="22.5" customHeight="1" x14ac:dyDescent="0.3">
      <c r="A238" s="4">
        <v>48</v>
      </c>
      <c r="B238" s="53" t="s">
        <v>150</v>
      </c>
      <c r="C238" s="53" t="s">
        <v>159</v>
      </c>
      <c r="D238" s="57" t="s">
        <v>13</v>
      </c>
      <c r="E238" s="53" t="s">
        <v>160</v>
      </c>
      <c r="F238" s="53" t="s">
        <v>71</v>
      </c>
      <c r="G238" s="53" t="s">
        <v>577</v>
      </c>
      <c r="H238" s="53">
        <v>5.5</v>
      </c>
      <c r="I238" s="57"/>
    </row>
    <row r="239" spans="1:9" ht="22.5" customHeight="1" x14ac:dyDescent="0.3">
      <c r="A239" s="4">
        <v>49</v>
      </c>
      <c r="B239" s="6" t="s">
        <v>161</v>
      </c>
      <c r="C239" s="6" t="s">
        <v>162</v>
      </c>
      <c r="D239" s="4" t="s">
        <v>13</v>
      </c>
      <c r="E239" s="6" t="s">
        <v>68</v>
      </c>
      <c r="F239" s="6" t="s">
        <v>58</v>
      </c>
      <c r="G239" s="4" t="s">
        <v>577</v>
      </c>
      <c r="H239" s="34">
        <v>8</v>
      </c>
      <c r="I239" s="4"/>
    </row>
    <row r="240" spans="1:9" ht="22.5" customHeight="1" x14ac:dyDescent="0.3">
      <c r="A240" s="4">
        <v>50</v>
      </c>
      <c r="B240" s="4" t="s">
        <v>18</v>
      </c>
      <c r="C240" s="6" t="s">
        <v>163</v>
      </c>
      <c r="D240" s="4" t="s">
        <v>13</v>
      </c>
      <c r="E240" s="6" t="s">
        <v>164</v>
      </c>
      <c r="F240" s="6" t="s">
        <v>58</v>
      </c>
      <c r="G240" s="4" t="s">
        <v>577</v>
      </c>
      <c r="H240" s="34">
        <v>16.5</v>
      </c>
      <c r="I240" s="4"/>
    </row>
    <row r="241" spans="1:9" ht="22.5" customHeight="1" x14ac:dyDescent="0.3">
      <c r="A241" s="4">
        <v>51</v>
      </c>
      <c r="B241" s="4" t="s">
        <v>18</v>
      </c>
      <c r="C241" s="6" t="s">
        <v>165</v>
      </c>
      <c r="D241" s="4" t="s">
        <v>13</v>
      </c>
      <c r="E241" s="6" t="s">
        <v>166</v>
      </c>
      <c r="F241" s="6" t="s">
        <v>58</v>
      </c>
      <c r="G241" s="4"/>
      <c r="H241" s="34"/>
      <c r="I241" s="4" t="s">
        <v>167</v>
      </c>
    </row>
    <row r="242" spans="1:9" ht="22.5" customHeight="1" x14ac:dyDescent="0.3">
      <c r="A242" s="4">
        <v>52</v>
      </c>
      <c r="B242" s="4" t="s">
        <v>168</v>
      </c>
      <c r="C242" s="6" t="s">
        <v>1065</v>
      </c>
      <c r="D242" s="4" t="s">
        <v>13</v>
      </c>
      <c r="E242" s="6" t="s">
        <v>169</v>
      </c>
      <c r="F242" s="6" t="s">
        <v>71</v>
      </c>
      <c r="G242" s="4" t="s">
        <v>577</v>
      </c>
      <c r="H242" s="34">
        <v>7.5</v>
      </c>
      <c r="I242" s="4"/>
    </row>
    <row r="243" spans="1:9" ht="22.5" customHeight="1" x14ac:dyDescent="0.3">
      <c r="A243" s="4">
        <v>53</v>
      </c>
      <c r="B243" s="4" t="s">
        <v>170</v>
      </c>
      <c r="C243" s="6" t="s">
        <v>171</v>
      </c>
      <c r="D243" s="4" t="s">
        <v>13</v>
      </c>
      <c r="E243" s="6" t="s">
        <v>172</v>
      </c>
      <c r="F243" s="4" t="s">
        <v>49</v>
      </c>
      <c r="G243" s="4" t="s">
        <v>577</v>
      </c>
      <c r="H243" s="34">
        <v>7.6</v>
      </c>
      <c r="I243" s="4"/>
    </row>
    <row r="244" spans="1:9" ht="22.5" customHeight="1" x14ac:dyDescent="0.3">
      <c r="A244" s="4">
        <v>54</v>
      </c>
      <c r="B244" s="4" t="s">
        <v>170</v>
      </c>
      <c r="C244" s="6" t="s">
        <v>173</v>
      </c>
      <c r="D244" s="4" t="s">
        <v>13</v>
      </c>
      <c r="E244" s="6" t="s">
        <v>174</v>
      </c>
      <c r="F244" s="4" t="s">
        <v>49</v>
      </c>
      <c r="G244" s="4" t="s">
        <v>577</v>
      </c>
      <c r="H244" s="34">
        <v>6.5</v>
      </c>
      <c r="I244" s="4"/>
    </row>
    <row r="245" spans="1:9" ht="22.5" customHeight="1" x14ac:dyDescent="0.3">
      <c r="A245" s="4">
        <v>55</v>
      </c>
      <c r="B245" s="4" t="s">
        <v>170</v>
      </c>
      <c r="C245" s="6" t="s">
        <v>175</v>
      </c>
      <c r="D245" s="4" t="s">
        <v>13</v>
      </c>
      <c r="E245" s="6" t="s">
        <v>176</v>
      </c>
      <c r="F245" s="4" t="s">
        <v>49</v>
      </c>
      <c r="G245" s="4" t="s">
        <v>577</v>
      </c>
      <c r="H245" s="34">
        <v>6.5</v>
      </c>
      <c r="I245" s="4"/>
    </row>
    <row r="246" spans="1:9" ht="22.5" customHeight="1" x14ac:dyDescent="0.3">
      <c r="A246" s="4">
        <v>56</v>
      </c>
      <c r="B246" s="4" t="s">
        <v>170</v>
      </c>
      <c r="C246" s="6" t="s">
        <v>177</v>
      </c>
      <c r="D246" s="4" t="s">
        <v>13</v>
      </c>
      <c r="E246" s="6" t="s">
        <v>178</v>
      </c>
      <c r="F246" s="4" t="s">
        <v>49</v>
      </c>
      <c r="G246" s="4" t="s">
        <v>577</v>
      </c>
      <c r="H246" s="34">
        <v>7.4</v>
      </c>
      <c r="I246" s="4"/>
    </row>
    <row r="247" spans="1:9" ht="22.5" customHeight="1" x14ac:dyDescent="0.3">
      <c r="A247" s="4">
        <v>57</v>
      </c>
      <c r="B247" s="4" t="s">
        <v>170</v>
      </c>
      <c r="C247" s="6" t="s">
        <v>120</v>
      </c>
      <c r="D247" s="4" t="s">
        <v>13</v>
      </c>
      <c r="E247" s="4" t="s">
        <v>179</v>
      </c>
      <c r="F247" s="4" t="s">
        <v>49</v>
      </c>
      <c r="G247" s="4" t="s">
        <v>577</v>
      </c>
      <c r="H247" s="34">
        <v>7.4</v>
      </c>
      <c r="I247" s="4"/>
    </row>
    <row r="248" spans="1:9" ht="22.5" customHeight="1" x14ac:dyDescent="0.3">
      <c r="A248" s="4">
        <v>58</v>
      </c>
      <c r="B248" s="4" t="s">
        <v>170</v>
      </c>
      <c r="C248" s="6" t="s">
        <v>180</v>
      </c>
      <c r="D248" s="4" t="s">
        <v>13</v>
      </c>
      <c r="E248" s="4" t="s">
        <v>181</v>
      </c>
      <c r="F248" s="4" t="s">
        <v>49</v>
      </c>
      <c r="G248" s="4" t="s">
        <v>577</v>
      </c>
      <c r="H248" s="34">
        <v>7.4</v>
      </c>
      <c r="I248" s="4"/>
    </row>
    <row r="249" spans="1:9" ht="22.5" customHeight="1" x14ac:dyDescent="0.3">
      <c r="A249" s="4">
        <v>59</v>
      </c>
      <c r="B249" s="4" t="s">
        <v>170</v>
      </c>
      <c r="C249" s="6" t="s">
        <v>182</v>
      </c>
      <c r="D249" s="4" t="s">
        <v>13</v>
      </c>
      <c r="E249" s="4" t="s">
        <v>183</v>
      </c>
      <c r="F249" s="4" t="s">
        <v>49</v>
      </c>
      <c r="G249" s="4" t="s">
        <v>577</v>
      </c>
      <c r="H249" s="34">
        <v>5.5</v>
      </c>
      <c r="I249" s="4"/>
    </row>
    <row r="250" spans="1:9" ht="22.5" customHeight="1" x14ac:dyDescent="0.3">
      <c r="A250" s="4">
        <v>60</v>
      </c>
      <c r="B250" s="4" t="s">
        <v>184</v>
      </c>
      <c r="C250" s="4" t="s">
        <v>185</v>
      </c>
      <c r="D250" s="4" t="s">
        <v>13</v>
      </c>
      <c r="E250" s="4" t="s">
        <v>186</v>
      </c>
      <c r="F250" s="4" t="s">
        <v>58</v>
      </c>
      <c r="G250" s="4"/>
      <c r="H250" s="34"/>
      <c r="I250" s="4" t="s">
        <v>167</v>
      </c>
    </row>
    <row r="251" spans="1:9" ht="22.5" customHeight="1" x14ac:dyDescent="0.3">
      <c r="A251" s="4">
        <v>61</v>
      </c>
      <c r="B251" s="4" t="s">
        <v>184</v>
      </c>
      <c r="C251" s="4" t="s">
        <v>187</v>
      </c>
      <c r="D251" s="4" t="s">
        <v>13</v>
      </c>
      <c r="E251" s="4" t="s">
        <v>188</v>
      </c>
      <c r="F251" s="4" t="s">
        <v>58</v>
      </c>
      <c r="G251" s="4"/>
      <c r="H251" s="34"/>
      <c r="I251" s="4" t="s">
        <v>167</v>
      </c>
    </row>
    <row r="252" spans="1:9" ht="22.5" customHeight="1" x14ac:dyDescent="0.3">
      <c r="A252" s="4">
        <v>62</v>
      </c>
      <c r="B252" s="4" t="s">
        <v>184</v>
      </c>
      <c r="C252" s="4" t="s">
        <v>189</v>
      </c>
      <c r="D252" s="4" t="s">
        <v>13</v>
      </c>
      <c r="E252" s="4" t="s">
        <v>190</v>
      </c>
      <c r="F252" s="4" t="s">
        <v>71</v>
      </c>
      <c r="G252" s="4"/>
      <c r="H252" s="34"/>
      <c r="I252" s="4" t="s">
        <v>167</v>
      </c>
    </row>
    <row r="253" spans="1:9" ht="22.5" customHeight="1" x14ac:dyDescent="0.3">
      <c r="A253" s="4">
        <v>63</v>
      </c>
      <c r="B253" s="4" t="s">
        <v>184</v>
      </c>
      <c r="C253" s="4" t="s">
        <v>191</v>
      </c>
      <c r="D253" s="4" t="s">
        <v>13</v>
      </c>
      <c r="E253" s="4" t="s">
        <v>192</v>
      </c>
      <c r="F253" s="4" t="s">
        <v>71</v>
      </c>
      <c r="G253" s="4"/>
      <c r="H253" s="34"/>
      <c r="I253" s="4" t="s">
        <v>167</v>
      </c>
    </row>
    <row r="254" spans="1:9" s="28" customFormat="1" ht="22.5" customHeight="1" x14ac:dyDescent="0.3">
      <c r="A254" s="4">
        <v>64</v>
      </c>
      <c r="B254" s="54" t="s">
        <v>119</v>
      </c>
      <c r="C254" s="50" t="s">
        <v>1098</v>
      </c>
      <c r="D254" s="54" t="s">
        <v>13</v>
      </c>
      <c r="E254" s="57" t="s">
        <v>1099</v>
      </c>
      <c r="F254" s="54" t="s">
        <v>58</v>
      </c>
      <c r="G254" s="54" t="s">
        <v>577</v>
      </c>
      <c r="H254" s="52">
        <v>5</v>
      </c>
      <c r="I254" s="54"/>
    </row>
    <row r="255" spans="1:9" s="28" customFormat="1" ht="22.5" customHeight="1" x14ac:dyDescent="0.3">
      <c r="A255" s="4">
        <v>65</v>
      </c>
      <c r="B255" s="54" t="s">
        <v>119</v>
      </c>
      <c r="C255" s="50" t="s">
        <v>1100</v>
      </c>
      <c r="D255" s="54" t="s">
        <v>13</v>
      </c>
      <c r="E255" s="54" t="s">
        <v>68</v>
      </c>
      <c r="F255" s="54" t="s">
        <v>49</v>
      </c>
      <c r="G255" s="54" t="s">
        <v>577</v>
      </c>
      <c r="H255" s="52">
        <v>6</v>
      </c>
      <c r="I255" s="54"/>
    </row>
    <row r="256" spans="1:9" s="28" customFormat="1" ht="22.5" customHeight="1" x14ac:dyDescent="0.3">
      <c r="A256" s="4">
        <v>66</v>
      </c>
      <c r="B256" s="54" t="s">
        <v>119</v>
      </c>
      <c r="C256" s="50" t="s">
        <v>121</v>
      </c>
      <c r="D256" s="54" t="s">
        <v>13</v>
      </c>
      <c r="E256" s="54" t="s">
        <v>68</v>
      </c>
      <c r="F256" s="54" t="s">
        <v>49</v>
      </c>
      <c r="G256" s="54" t="s">
        <v>577</v>
      </c>
      <c r="H256" s="52">
        <v>6</v>
      </c>
      <c r="I256" s="54"/>
    </row>
    <row r="257" spans="1:9" s="28" customFormat="1" ht="22.5" customHeight="1" x14ac:dyDescent="0.3">
      <c r="A257" s="4">
        <v>67</v>
      </c>
      <c r="B257" s="54" t="s">
        <v>119</v>
      </c>
      <c r="C257" s="50" t="s">
        <v>1101</v>
      </c>
      <c r="D257" s="54" t="s">
        <v>13</v>
      </c>
      <c r="E257" s="54" t="s">
        <v>68</v>
      </c>
      <c r="F257" s="54" t="s">
        <v>49</v>
      </c>
      <c r="G257" s="54" t="s">
        <v>577</v>
      </c>
      <c r="H257" s="52">
        <v>6.5</v>
      </c>
      <c r="I257" s="54"/>
    </row>
    <row r="258" spans="1:9" s="28" customFormat="1" ht="22.5" customHeight="1" x14ac:dyDescent="0.3">
      <c r="A258" s="4">
        <v>68</v>
      </c>
      <c r="B258" s="54" t="s">
        <v>119</v>
      </c>
      <c r="C258" s="50" t="s">
        <v>1102</v>
      </c>
      <c r="D258" s="54" t="s">
        <v>13</v>
      </c>
      <c r="E258" s="54" t="s">
        <v>68</v>
      </c>
      <c r="F258" s="52" t="s">
        <v>49</v>
      </c>
      <c r="G258" s="54" t="s">
        <v>577</v>
      </c>
      <c r="H258" s="52">
        <v>6.5</v>
      </c>
      <c r="I258" s="54"/>
    </row>
    <row r="259" spans="1:9" ht="22.5" customHeight="1" x14ac:dyDescent="0.3">
      <c r="A259" s="4">
        <v>69</v>
      </c>
      <c r="B259" s="54" t="s">
        <v>20</v>
      </c>
      <c r="C259" s="57" t="s">
        <v>123</v>
      </c>
      <c r="D259" s="54" t="s">
        <v>13</v>
      </c>
      <c r="E259" s="54" t="s">
        <v>124</v>
      </c>
      <c r="F259" s="52" t="s">
        <v>49</v>
      </c>
      <c r="G259" s="54" t="s">
        <v>577</v>
      </c>
      <c r="H259" s="52">
        <v>6.5</v>
      </c>
      <c r="I259" s="54"/>
    </row>
    <row r="260" spans="1:9" ht="22.5" customHeight="1" x14ac:dyDescent="0.3">
      <c r="A260" s="4">
        <v>70</v>
      </c>
      <c r="B260" s="54" t="s">
        <v>20</v>
      </c>
      <c r="C260" s="53" t="s">
        <v>125</v>
      </c>
      <c r="D260" s="54" t="s">
        <v>13</v>
      </c>
      <c r="E260" s="54" t="s">
        <v>126</v>
      </c>
      <c r="F260" s="52" t="s">
        <v>58</v>
      </c>
      <c r="G260" s="54" t="s">
        <v>577</v>
      </c>
      <c r="H260" s="52">
        <v>7</v>
      </c>
      <c r="I260" s="54"/>
    </row>
    <row r="261" spans="1:9" ht="22.5" customHeight="1" x14ac:dyDescent="0.3">
      <c r="A261" s="4">
        <v>71</v>
      </c>
      <c r="B261" s="54" t="s">
        <v>20</v>
      </c>
      <c r="C261" s="53" t="s">
        <v>127</v>
      </c>
      <c r="D261" s="54" t="s">
        <v>13</v>
      </c>
      <c r="E261" s="54" t="s">
        <v>128</v>
      </c>
      <c r="F261" s="52" t="s">
        <v>129</v>
      </c>
      <c r="G261" s="52"/>
      <c r="H261" s="54"/>
      <c r="I261" s="57" t="s">
        <v>130</v>
      </c>
    </row>
    <row r="262" spans="1:9" ht="22.5" customHeight="1" x14ac:dyDescent="0.3">
      <c r="A262" s="4">
        <v>72</v>
      </c>
      <c r="B262" s="54" t="s">
        <v>20</v>
      </c>
      <c r="C262" s="53" t="s">
        <v>131</v>
      </c>
      <c r="D262" s="54" t="s">
        <v>13</v>
      </c>
      <c r="E262" s="54" t="s">
        <v>132</v>
      </c>
      <c r="F262" s="52" t="s">
        <v>58</v>
      </c>
      <c r="G262" s="54" t="s">
        <v>577</v>
      </c>
      <c r="H262" s="52">
        <v>6.5</v>
      </c>
      <c r="I262" s="54"/>
    </row>
    <row r="263" spans="1:9" ht="22.5" customHeight="1" x14ac:dyDescent="0.3">
      <c r="A263" s="4">
        <v>73</v>
      </c>
      <c r="B263" s="54" t="s">
        <v>20</v>
      </c>
      <c r="C263" s="53" t="s">
        <v>133</v>
      </c>
      <c r="D263" s="54" t="s">
        <v>13</v>
      </c>
      <c r="E263" s="54" t="s">
        <v>134</v>
      </c>
      <c r="F263" s="52" t="s">
        <v>49</v>
      </c>
      <c r="G263" s="54" t="s">
        <v>577</v>
      </c>
      <c r="H263" s="52">
        <v>7</v>
      </c>
      <c r="I263" s="54"/>
    </row>
    <row r="264" spans="1:9" ht="22.5" customHeight="1" x14ac:dyDescent="0.3">
      <c r="A264" s="4">
        <v>74</v>
      </c>
      <c r="B264" s="54" t="s">
        <v>20</v>
      </c>
      <c r="C264" s="53" t="s">
        <v>135</v>
      </c>
      <c r="D264" s="54" t="s">
        <v>13</v>
      </c>
      <c r="E264" s="54" t="s">
        <v>136</v>
      </c>
      <c r="F264" s="52" t="s">
        <v>49</v>
      </c>
      <c r="G264" s="54" t="s">
        <v>577</v>
      </c>
      <c r="H264" s="52">
        <v>6.95</v>
      </c>
      <c r="I264" s="54"/>
    </row>
    <row r="265" spans="1:9" ht="22.5" customHeight="1" x14ac:dyDescent="0.3">
      <c r="A265" s="4">
        <v>75</v>
      </c>
      <c r="B265" s="54" t="s">
        <v>20</v>
      </c>
      <c r="C265" s="53" t="s">
        <v>137</v>
      </c>
      <c r="D265" s="54" t="s">
        <v>13</v>
      </c>
      <c r="E265" s="54" t="s">
        <v>138</v>
      </c>
      <c r="F265" s="52" t="s">
        <v>58</v>
      </c>
      <c r="G265" s="54" t="s">
        <v>577</v>
      </c>
      <c r="H265" s="52">
        <v>7</v>
      </c>
      <c r="I265" s="54"/>
    </row>
    <row r="266" spans="1:9" ht="22.5" customHeight="1" x14ac:dyDescent="0.3">
      <c r="A266" s="4">
        <v>76</v>
      </c>
      <c r="B266" s="54" t="s">
        <v>20</v>
      </c>
      <c r="C266" s="53" t="s">
        <v>139</v>
      </c>
      <c r="D266" s="54" t="s">
        <v>13</v>
      </c>
      <c r="E266" s="54" t="s">
        <v>140</v>
      </c>
      <c r="F266" s="52" t="s">
        <v>58</v>
      </c>
      <c r="G266" s="54" t="s">
        <v>577</v>
      </c>
      <c r="H266" s="52">
        <v>7</v>
      </c>
      <c r="I266" s="54"/>
    </row>
    <row r="267" spans="1:9" ht="22.5" customHeight="1" x14ac:dyDescent="0.3">
      <c r="A267" s="4">
        <v>77</v>
      </c>
      <c r="B267" s="54" t="s">
        <v>20</v>
      </c>
      <c r="C267" s="53" t="s">
        <v>141</v>
      </c>
      <c r="D267" s="54" t="s">
        <v>13</v>
      </c>
      <c r="E267" s="54" t="s">
        <v>142</v>
      </c>
      <c r="F267" s="52" t="s">
        <v>49</v>
      </c>
      <c r="G267" s="54" t="s">
        <v>577</v>
      </c>
      <c r="H267" s="54">
        <v>5.5</v>
      </c>
      <c r="I267" s="54"/>
    </row>
    <row r="268" spans="1:9" ht="22.5" customHeight="1" x14ac:dyDescent="0.3">
      <c r="A268" s="4">
        <v>78</v>
      </c>
      <c r="B268" s="4" t="s">
        <v>193</v>
      </c>
      <c r="C268" s="6" t="s">
        <v>194</v>
      </c>
      <c r="D268" s="4" t="s">
        <v>13</v>
      </c>
      <c r="E268" s="4" t="s">
        <v>195</v>
      </c>
      <c r="F268" s="4" t="s">
        <v>196</v>
      </c>
      <c r="G268" s="4" t="s">
        <v>577</v>
      </c>
      <c r="H268" s="34">
        <v>7.5</v>
      </c>
      <c r="I268" s="4"/>
    </row>
    <row r="269" spans="1:9" ht="22.5" customHeight="1" x14ac:dyDescent="0.3">
      <c r="A269" s="4">
        <v>79</v>
      </c>
      <c r="B269" s="4" t="s">
        <v>193</v>
      </c>
      <c r="C269" s="6" t="s">
        <v>197</v>
      </c>
      <c r="D269" s="4" t="s">
        <v>13</v>
      </c>
      <c r="E269" s="4" t="s">
        <v>198</v>
      </c>
      <c r="F269" s="4" t="s">
        <v>196</v>
      </c>
      <c r="G269" s="4" t="s">
        <v>577</v>
      </c>
      <c r="H269" s="34">
        <v>7.5</v>
      </c>
      <c r="I269" s="4"/>
    </row>
    <row r="270" spans="1:9" ht="22.5" customHeight="1" x14ac:dyDescent="0.3">
      <c r="A270" s="4">
        <v>80</v>
      </c>
      <c r="B270" s="4" t="s">
        <v>193</v>
      </c>
      <c r="C270" s="6" t="s">
        <v>199</v>
      </c>
      <c r="D270" s="4" t="s">
        <v>13</v>
      </c>
      <c r="E270" s="4" t="s">
        <v>79</v>
      </c>
      <c r="F270" s="4" t="s">
        <v>196</v>
      </c>
      <c r="G270" s="4" t="s">
        <v>577</v>
      </c>
      <c r="H270" s="34">
        <v>10</v>
      </c>
      <c r="I270" s="4"/>
    </row>
    <row r="271" spans="1:9" ht="22.5" customHeight="1" x14ac:dyDescent="0.3">
      <c r="A271" s="4">
        <v>81</v>
      </c>
      <c r="B271" s="4" t="s">
        <v>193</v>
      </c>
      <c r="C271" s="6" t="s">
        <v>200</v>
      </c>
      <c r="D271" s="4" t="s">
        <v>13</v>
      </c>
      <c r="E271" s="4" t="s">
        <v>122</v>
      </c>
      <c r="F271" s="4" t="s">
        <v>196</v>
      </c>
      <c r="G271" s="4" t="s">
        <v>577</v>
      </c>
      <c r="H271" s="34">
        <v>7.5</v>
      </c>
      <c r="I271" s="4"/>
    </row>
    <row r="272" spans="1:9" ht="22.5" customHeight="1" x14ac:dyDescent="0.3">
      <c r="A272" s="4">
        <v>82</v>
      </c>
      <c r="B272" s="4" t="s">
        <v>193</v>
      </c>
      <c r="C272" s="6" t="s">
        <v>201</v>
      </c>
      <c r="D272" s="4" t="s">
        <v>13</v>
      </c>
      <c r="E272" s="4" t="s">
        <v>202</v>
      </c>
      <c r="F272" s="4" t="s">
        <v>196</v>
      </c>
      <c r="G272" s="4" t="s">
        <v>577</v>
      </c>
      <c r="H272" s="34">
        <v>7.5</v>
      </c>
      <c r="I272" s="4"/>
    </row>
    <row r="273" spans="1:9" ht="22.5" customHeight="1" x14ac:dyDescent="0.3">
      <c r="A273" s="4">
        <v>83</v>
      </c>
      <c r="B273" s="4" t="s">
        <v>193</v>
      </c>
      <c r="C273" s="6" t="s">
        <v>203</v>
      </c>
      <c r="D273" s="4" t="s">
        <v>13</v>
      </c>
      <c r="E273" s="4" t="s">
        <v>204</v>
      </c>
      <c r="F273" s="4" t="s">
        <v>196</v>
      </c>
      <c r="G273" s="4" t="s">
        <v>577</v>
      </c>
      <c r="H273" s="34">
        <v>7.5</v>
      </c>
      <c r="I273" s="4"/>
    </row>
    <row r="274" spans="1:9" ht="22.5" customHeight="1" x14ac:dyDescent="0.3">
      <c r="A274" s="4">
        <v>84</v>
      </c>
      <c r="B274" s="4" t="s">
        <v>193</v>
      </c>
      <c r="C274" s="6" t="s">
        <v>205</v>
      </c>
      <c r="D274" s="4" t="s">
        <v>13</v>
      </c>
      <c r="E274" s="4" t="s">
        <v>206</v>
      </c>
      <c r="F274" s="4" t="s">
        <v>196</v>
      </c>
      <c r="G274" s="4" t="s">
        <v>577</v>
      </c>
      <c r="H274" s="34">
        <v>7.5</v>
      </c>
      <c r="I274" s="4"/>
    </row>
    <row r="275" spans="1:9" ht="22.5" customHeight="1" x14ac:dyDescent="0.3">
      <c r="A275" s="4">
        <v>85</v>
      </c>
      <c r="B275" s="4" t="s">
        <v>193</v>
      </c>
      <c r="C275" s="6" t="s">
        <v>207</v>
      </c>
      <c r="D275" s="4" t="s">
        <v>13</v>
      </c>
      <c r="E275" s="4" t="s">
        <v>79</v>
      </c>
      <c r="F275" s="4" t="s">
        <v>196</v>
      </c>
      <c r="G275" s="4" t="s">
        <v>577</v>
      </c>
      <c r="H275" s="34">
        <v>7.5</v>
      </c>
      <c r="I275" s="4"/>
    </row>
    <row r="276" spans="1:9" ht="22.5" customHeight="1" x14ac:dyDescent="0.3">
      <c r="A276" s="4">
        <v>86</v>
      </c>
      <c r="B276" s="4" t="s">
        <v>193</v>
      </c>
      <c r="C276" s="6" t="s">
        <v>208</v>
      </c>
      <c r="D276" s="4" t="s">
        <v>13</v>
      </c>
      <c r="E276" s="4" t="s">
        <v>209</v>
      </c>
      <c r="F276" s="4" t="s">
        <v>196</v>
      </c>
      <c r="G276" s="4" t="s">
        <v>577</v>
      </c>
      <c r="H276" s="34">
        <v>7.5</v>
      </c>
      <c r="I276" s="4"/>
    </row>
    <row r="277" spans="1:9" ht="22.5" customHeight="1" x14ac:dyDescent="0.3">
      <c r="A277" s="4">
        <v>87</v>
      </c>
      <c r="B277" s="4" t="s">
        <v>193</v>
      </c>
      <c r="C277" s="6" t="s">
        <v>210</v>
      </c>
      <c r="D277" s="4" t="s">
        <v>13</v>
      </c>
      <c r="E277" s="4" t="s">
        <v>211</v>
      </c>
      <c r="F277" s="4" t="s">
        <v>196</v>
      </c>
      <c r="G277" s="4" t="s">
        <v>577</v>
      </c>
      <c r="H277" s="34">
        <v>7.5</v>
      </c>
      <c r="I277" s="4"/>
    </row>
    <row r="278" spans="1:9" ht="22.5" customHeight="1" x14ac:dyDescent="0.3">
      <c r="A278" s="4">
        <v>88</v>
      </c>
      <c r="B278" s="4" t="s">
        <v>193</v>
      </c>
      <c r="C278" s="6" t="s">
        <v>212</v>
      </c>
      <c r="D278" s="4" t="s">
        <v>13</v>
      </c>
      <c r="E278" s="4" t="s">
        <v>213</v>
      </c>
      <c r="F278" s="4" t="s">
        <v>196</v>
      </c>
      <c r="G278" s="4" t="s">
        <v>577</v>
      </c>
      <c r="H278" s="34">
        <v>7.5</v>
      </c>
      <c r="I278" s="4"/>
    </row>
    <row r="279" spans="1:9" ht="22.5" customHeight="1" x14ac:dyDescent="0.3">
      <c r="A279" s="4">
        <v>89</v>
      </c>
      <c r="B279" s="4" t="s">
        <v>193</v>
      </c>
      <c r="C279" s="6" t="s">
        <v>214</v>
      </c>
      <c r="D279" s="4" t="s">
        <v>13</v>
      </c>
      <c r="E279" s="4" t="s">
        <v>215</v>
      </c>
      <c r="F279" s="4" t="s">
        <v>196</v>
      </c>
      <c r="G279" s="4" t="s">
        <v>577</v>
      </c>
      <c r="H279" s="34">
        <v>7.5</v>
      </c>
      <c r="I279" s="4"/>
    </row>
    <row r="280" spans="1:9" ht="22.5" customHeight="1" x14ac:dyDescent="0.3">
      <c r="A280" s="4">
        <v>90</v>
      </c>
      <c r="B280" s="4" t="s">
        <v>193</v>
      </c>
      <c r="C280" s="6" t="s">
        <v>216</v>
      </c>
      <c r="D280" s="4" t="s">
        <v>13</v>
      </c>
      <c r="E280" s="4" t="s">
        <v>217</v>
      </c>
      <c r="F280" s="4" t="s">
        <v>71</v>
      </c>
      <c r="G280" s="4" t="s">
        <v>577</v>
      </c>
      <c r="H280" s="34">
        <f>7+1</f>
        <v>8</v>
      </c>
      <c r="I280" s="4"/>
    </row>
    <row r="281" spans="1:9" ht="22.5" customHeight="1" x14ac:dyDescent="0.3">
      <c r="A281" s="4">
        <v>91</v>
      </c>
      <c r="B281" s="4" t="s">
        <v>193</v>
      </c>
      <c r="C281" s="6" t="s">
        <v>218</v>
      </c>
      <c r="D281" s="4" t="s">
        <v>13</v>
      </c>
      <c r="E281" s="4" t="s">
        <v>219</v>
      </c>
      <c r="F281" s="4" t="s">
        <v>196</v>
      </c>
      <c r="G281" s="4" t="s">
        <v>577</v>
      </c>
      <c r="H281" s="34">
        <v>7.5</v>
      </c>
      <c r="I281" s="4"/>
    </row>
    <row r="282" spans="1:9" ht="22.5" customHeight="1" x14ac:dyDescent="0.3">
      <c r="A282" s="4">
        <v>92</v>
      </c>
      <c r="B282" s="4" t="s">
        <v>193</v>
      </c>
      <c r="C282" s="6" t="s">
        <v>220</v>
      </c>
      <c r="D282" s="4" t="s">
        <v>13</v>
      </c>
      <c r="E282" s="4" t="s">
        <v>221</v>
      </c>
      <c r="F282" s="4" t="s">
        <v>196</v>
      </c>
      <c r="G282" s="4" t="s">
        <v>577</v>
      </c>
      <c r="H282" s="34">
        <v>7.5</v>
      </c>
      <c r="I282" s="4"/>
    </row>
    <row r="283" spans="1:9" ht="22.5" customHeight="1" x14ac:dyDescent="0.3">
      <c r="A283" s="4">
        <v>93</v>
      </c>
      <c r="B283" s="4" t="s">
        <v>193</v>
      </c>
      <c r="C283" s="6" t="s">
        <v>222</v>
      </c>
      <c r="D283" s="4" t="s">
        <v>13</v>
      </c>
      <c r="E283" s="4" t="s">
        <v>223</v>
      </c>
      <c r="F283" s="4" t="s">
        <v>196</v>
      </c>
      <c r="G283" s="4" t="s">
        <v>577</v>
      </c>
      <c r="H283" s="34">
        <v>7.5</v>
      </c>
      <c r="I283" s="4"/>
    </row>
    <row r="284" spans="1:9" ht="22.5" customHeight="1" x14ac:dyDescent="0.3">
      <c r="A284" s="4">
        <v>94</v>
      </c>
      <c r="B284" s="4" t="s">
        <v>193</v>
      </c>
      <c r="C284" s="6" t="s">
        <v>224</v>
      </c>
      <c r="D284" s="4" t="s">
        <v>13</v>
      </c>
      <c r="E284" s="4" t="s">
        <v>225</v>
      </c>
      <c r="F284" s="4" t="s">
        <v>196</v>
      </c>
      <c r="G284" s="4" t="s">
        <v>577</v>
      </c>
      <c r="H284" s="34">
        <v>7.5</v>
      </c>
      <c r="I284" s="4"/>
    </row>
    <row r="285" spans="1:9" ht="22.5" customHeight="1" x14ac:dyDescent="0.3">
      <c r="A285" s="4">
        <v>95</v>
      </c>
      <c r="B285" s="4" t="s">
        <v>193</v>
      </c>
      <c r="C285" s="6" t="s">
        <v>226</v>
      </c>
      <c r="D285" s="4" t="s">
        <v>13</v>
      </c>
      <c r="E285" s="4" t="s">
        <v>44</v>
      </c>
      <c r="F285" s="4" t="s">
        <v>196</v>
      </c>
      <c r="G285" s="4" t="s">
        <v>577</v>
      </c>
      <c r="H285" s="34">
        <v>7.5</v>
      </c>
      <c r="I285" s="4"/>
    </row>
    <row r="286" spans="1:9" ht="22.5" customHeight="1" x14ac:dyDescent="0.3">
      <c r="A286" s="4">
        <v>96</v>
      </c>
      <c r="B286" s="4" t="s">
        <v>193</v>
      </c>
      <c r="C286" s="6" t="s">
        <v>227</v>
      </c>
      <c r="D286" s="4" t="s">
        <v>13</v>
      </c>
      <c r="E286" s="4" t="s">
        <v>228</v>
      </c>
      <c r="F286" s="4" t="s">
        <v>196</v>
      </c>
      <c r="G286" s="4" t="s">
        <v>577</v>
      </c>
      <c r="H286" s="34">
        <v>7.5</v>
      </c>
      <c r="I286" s="4"/>
    </row>
    <row r="287" spans="1:9" ht="22.5" customHeight="1" x14ac:dyDescent="0.3">
      <c r="A287" s="4">
        <v>97</v>
      </c>
      <c r="B287" s="4" t="s">
        <v>193</v>
      </c>
      <c r="C287" s="6" t="s">
        <v>229</v>
      </c>
      <c r="D287" s="4" t="s">
        <v>13</v>
      </c>
      <c r="E287" s="4" t="s">
        <v>230</v>
      </c>
      <c r="F287" s="4" t="s">
        <v>196</v>
      </c>
      <c r="G287" s="4" t="s">
        <v>577</v>
      </c>
      <c r="H287" s="34">
        <v>7.5</v>
      </c>
      <c r="I287" s="4"/>
    </row>
    <row r="288" spans="1:9" ht="22.5" customHeight="1" x14ac:dyDescent="0.3">
      <c r="A288" s="4">
        <v>98</v>
      </c>
      <c r="B288" s="4" t="s">
        <v>193</v>
      </c>
      <c r="C288" s="6" t="s">
        <v>231</v>
      </c>
      <c r="D288" s="4" t="s">
        <v>13</v>
      </c>
      <c r="E288" s="4" t="s">
        <v>232</v>
      </c>
      <c r="F288" s="4" t="s">
        <v>196</v>
      </c>
      <c r="G288" s="4" t="s">
        <v>577</v>
      </c>
      <c r="H288" s="34">
        <v>15.5</v>
      </c>
      <c r="I288" s="4"/>
    </row>
    <row r="289" spans="1:9" ht="22.5" customHeight="1" x14ac:dyDescent="0.3">
      <c r="A289" s="4">
        <v>99</v>
      </c>
      <c r="B289" s="4" t="s">
        <v>193</v>
      </c>
      <c r="C289" s="6" t="s">
        <v>233</v>
      </c>
      <c r="D289" s="4" t="s">
        <v>13</v>
      </c>
      <c r="E289" s="4" t="s">
        <v>234</v>
      </c>
      <c r="F289" s="4" t="s">
        <v>71</v>
      </c>
      <c r="G289" s="4" t="s">
        <v>577</v>
      </c>
      <c r="H289" s="34">
        <v>21.7</v>
      </c>
      <c r="I289" s="4"/>
    </row>
    <row r="290" spans="1:9" s="5" customFormat="1" ht="22.5" customHeight="1" x14ac:dyDescent="0.3">
      <c r="A290" s="4">
        <v>100</v>
      </c>
      <c r="B290" s="6" t="s">
        <v>17</v>
      </c>
      <c r="C290" s="6" t="s">
        <v>235</v>
      </c>
      <c r="D290" s="6" t="s">
        <v>13</v>
      </c>
      <c r="E290" s="6" t="s">
        <v>236</v>
      </c>
      <c r="F290" s="6" t="s">
        <v>237</v>
      </c>
      <c r="G290" s="6" t="s">
        <v>577</v>
      </c>
      <c r="H290" s="61">
        <v>8.8000000000000007</v>
      </c>
      <c r="I290" s="6"/>
    </row>
    <row r="291" spans="1:9" s="5" customFormat="1" ht="22.5" customHeight="1" x14ac:dyDescent="0.3">
      <c r="A291" s="4">
        <v>101</v>
      </c>
      <c r="B291" s="6" t="s">
        <v>17</v>
      </c>
      <c r="C291" s="6" t="s">
        <v>1109</v>
      </c>
      <c r="D291" s="6" t="s">
        <v>13</v>
      </c>
      <c r="E291" s="6" t="s">
        <v>1110</v>
      </c>
      <c r="F291" s="6" t="s">
        <v>71</v>
      </c>
      <c r="G291" s="6" t="s">
        <v>577</v>
      </c>
      <c r="H291" s="61" t="s">
        <v>363</v>
      </c>
      <c r="I291" s="6"/>
    </row>
    <row r="292" spans="1:9" s="5" customFormat="1" ht="22.5" customHeight="1" x14ac:dyDescent="0.3">
      <c r="A292" s="4">
        <v>102</v>
      </c>
      <c r="B292" s="6" t="s">
        <v>17</v>
      </c>
      <c r="C292" s="6" t="s">
        <v>1108</v>
      </c>
      <c r="D292" s="6" t="s">
        <v>13</v>
      </c>
      <c r="E292" s="6" t="s">
        <v>1111</v>
      </c>
      <c r="F292" s="6" t="s">
        <v>71</v>
      </c>
      <c r="G292" s="6" t="s">
        <v>577</v>
      </c>
      <c r="H292" s="61" t="s">
        <v>363</v>
      </c>
      <c r="I292" s="6"/>
    </row>
    <row r="293" spans="1:9" s="5" customFormat="1" ht="22.5" customHeight="1" x14ac:dyDescent="0.3">
      <c r="A293" s="4">
        <v>103</v>
      </c>
      <c r="B293" s="6" t="s">
        <v>17</v>
      </c>
      <c r="C293" s="6" t="s">
        <v>29</v>
      </c>
      <c r="D293" s="6" t="s">
        <v>13</v>
      </c>
      <c r="E293" s="6" t="s">
        <v>1112</v>
      </c>
      <c r="F293" s="6" t="s">
        <v>71</v>
      </c>
      <c r="G293" s="6" t="s">
        <v>577</v>
      </c>
      <c r="H293" s="61" t="s">
        <v>363</v>
      </c>
      <c r="I293" s="6"/>
    </row>
    <row r="294" spans="1:9" s="5" customFormat="1" ht="22.5" customHeight="1" x14ac:dyDescent="0.3">
      <c r="A294" s="4">
        <v>104</v>
      </c>
      <c r="B294" s="6" t="s">
        <v>17</v>
      </c>
      <c r="C294" s="6" t="s">
        <v>1107</v>
      </c>
      <c r="D294" s="6" t="s">
        <v>13</v>
      </c>
      <c r="E294" s="6" t="s">
        <v>239</v>
      </c>
      <c r="F294" s="6" t="s">
        <v>58</v>
      </c>
      <c r="G294" s="6" t="s">
        <v>577</v>
      </c>
      <c r="H294" s="61">
        <v>8.8000000000000007</v>
      </c>
      <c r="I294" s="6"/>
    </row>
    <row r="295" spans="1:9" s="5" customFormat="1" ht="22.5" customHeight="1" x14ac:dyDescent="0.3">
      <c r="A295" s="4">
        <v>105</v>
      </c>
      <c r="B295" s="6" t="s">
        <v>17</v>
      </c>
      <c r="C295" s="6" t="s">
        <v>240</v>
      </c>
      <c r="D295" s="6" t="s">
        <v>13</v>
      </c>
      <c r="E295" s="6" t="s">
        <v>241</v>
      </c>
      <c r="F295" s="6" t="s">
        <v>49</v>
      </c>
      <c r="G295" s="6" t="s">
        <v>577</v>
      </c>
      <c r="H295" s="61">
        <v>7.8</v>
      </c>
      <c r="I295" s="6"/>
    </row>
    <row r="296" spans="1:9" s="30" customFormat="1" ht="22.5" customHeight="1" x14ac:dyDescent="0.3">
      <c r="A296" s="4">
        <v>106</v>
      </c>
      <c r="B296" s="17" t="s">
        <v>364</v>
      </c>
      <c r="C296" s="17" t="s">
        <v>365</v>
      </c>
      <c r="D296" s="17" t="s">
        <v>13</v>
      </c>
      <c r="E296" s="17" t="s">
        <v>366</v>
      </c>
      <c r="F296" s="17" t="s">
        <v>129</v>
      </c>
      <c r="G296" s="4" t="s">
        <v>577</v>
      </c>
      <c r="H296" s="34">
        <v>7</v>
      </c>
      <c r="I296" s="17" t="s">
        <v>1064</v>
      </c>
    </row>
    <row r="297" spans="1:9" s="30" customFormat="1" ht="22.5" customHeight="1" x14ac:dyDescent="0.3">
      <c r="A297" s="4">
        <v>107</v>
      </c>
      <c r="B297" s="17" t="s">
        <v>364</v>
      </c>
      <c r="C297" s="17" t="s">
        <v>367</v>
      </c>
      <c r="D297" s="17" t="s">
        <v>13</v>
      </c>
      <c r="E297" s="17" t="s">
        <v>368</v>
      </c>
      <c r="F297" s="17" t="s">
        <v>58</v>
      </c>
      <c r="G297" s="4" t="s">
        <v>577</v>
      </c>
      <c r="H297" s="34"/>
      <c r="I297" s="17"/>
    </row>
    <row r="298" spans="1:9" s="30" customFormat="1" ht="22.5" customHeight="1" x14ac:dyDescent="0.3">
      <c r="A298" s="4">
        <v>108</v>
      </c>
      <c r="B298" s="17" t="s">
        <v>364</v>
      </c>
      <c r="C298" s="17" t="s">
        <v>369</v>
      </c>
      <c r="D298" s="17" t="s">
        <v>13</v>
      </c>
      <c r="E298" s="17" t="s">
        <v>370</v>
      </c>
      <c r="F298" s="17" t="s">
        <v>49</v>
      </c>
      <c r="G298" s="4" t="s">
        <v>577</v>
      </c>
      <c r="H298" s="34"/>
      <c r="I298" s="17"/>
    </row>
    <row r="299" spans="1:9" s="30" customFormat="1" ht="22.5" customHeight="1" x14ac:dyDescent="0.3">
      <c r="A299" s="4">
        <v>109</v>
      </c>
      <c r="B299" s="17" t="s">
        <v>364</v>
      </c>
      <c r="C299" s="17" t="s">
        <v>371</v>
      </c>
      <c r="D299" s="17" t="s">
        <v>13</v>
      </c>
      <c r="E299" s="17" t="s">
        <v>372</v>
      </c>
      <c r="F299" s="17" t="s">
        <v>58</v>
      </c>
      <c r="G299" s="4" t="s">
        <v>577</v>
      </c>
      <c r="H299" s="34"/>
      <c r="I299" s="17"/>
    </row>
    <row r="300" spans="1:9" s="30" customFormat="1" ht="22.5" customHeight="1" x14ac:dyDescent="0.3">
      <c r="A300" s="4">
        <v>110</v>
      </c>
      <c r="B300" s="17" t="s">
        <v>364</v>
      </c>
      <c r="C300" s="17" t="s">
        <v>373</v>
      </c>
      <c r="D300" s="17" t="s">
        <v>13</v>
      </c>
      <c r="E300" s="17" t="s">
        <v>374</v>
      </c>
      <c r="F300" s="17" t="s">
        <v>58</v>
      </c>
      <c r="G300" s="4" t="s">
        <v>577</v>
      </c>
      <c r="H300" s="34"/>
      <c r="I300" s="17"/>
    </row>
    <row r="301" spans="1:9" s="30" customFormat="1" ht="22.5" customHeight="1" x14ac:dyDescent="0.3">
      <c r="A301" s="4">
        <v>111</v>
      </c>
      <c r="B301" s="17" t="s">
        <v>364</v>
      </c>
      <c r="C301" s="17" t="s">
        <v>375</v>
      </c>
      <c r="D301" s="17" t="s">
        <v>13</v>
      </c>
      <c r="E301" s="17" t="s">
        <v>376</v>
      </c>
      <c r="F301" s="17" t="s">
        <v>58</v>
      </c>
      <c r="G301" s="4" t="s">
        <v>577</v>
      </c>
      <c r="H301" s="34"/>
      <c r="I301" s="17"/>
    </row>
    <row r="302" spans="1:9" s="30" customFormat="1" ht="22.5" customHeight="1" x14ac:dyDescent="0.3">
      <c r="A302" s="4">
        <v>112</v>
      </c>
      <c r="B302" s="17" t="s">
        <v>364</v>
      </c>
      <c r="C302" s="17" t="s">
        <v>377</v>
      </c>
      <c r="D302" s="17" t="s">
        <v>13</v>
      </c>
      <c r="E302" s="17" t="s">
        <v>378</v>
      </c>
      <c r="F302" s="17" t="s">
        <v>58</v>
      </c>
      <c r="G302" s="4" t="s">
        <v>577</v>
      </c>
      <c r="H302" s="34"/>
      <c r="I302" s="17"/>
    </row>
    <row r="303" spans="1:9" s="30" customFormat="1" ht="22.5" customHeight="1" x14ac:dyDescent="0.3">
      <c r="A303" s="4">
        <v>113</v>
      </c>
      <c r="B303" s="17" t="s">
        <v>364</v>
      </c>
      <c r="C303" s="17" t="s">
        <v>379</v>
      </c>
      <c r="D303" s="17" t="s">
        <v>13</v>
      </c>
      <c r="E303" s="17" t="s">
        <v>380</v>
      </c>
      <c r="F303" s="17" t="s">
        <v>58</v>
      </c>
      <c r="G303" s="4" t="s">
        <v>577</v>
      </c>
      <c r="H303" s="34"/>
      <c r="I303" s="17"/>
    </row>
    <row r="304" spans="1:9" s="30" customFormat="1" ht="22.5" customHeight="1" x14ac:dyDescent="0.3">
      <c r="A304" s="4">
        <v>114</v>
      </c>
      <c r="B304" s="17" t="s">
        <v>364</v>
      </c>
      <c r="C304" s="17" t="s">
        <v>381</v>
      </c>
      <c r="D304" s="17" t="s">
        <v>13</v>
      </c>
      <c r="E304" s="17" t="s">
        <v>382</v>
      </c>
      <c r="F304" s="17" t="s">
        <v>58</v>
      </c>
      <c r="G304" s="4" t="s">
        <v>577</v>
      </c>
      <c r="H304" s="34"/>
      <c r="I304" s="17"/>
    </row>
    <row r="305" spans="1:9" s="30" customFormat="1" ht="22.5" customHeight="1" x14ac:dyDescent="0.3">
      <c r="A305" s="4">
        <v>115</v>
      </c>
      <c r="B305" s="17" t="s">
        <v>364</v>
      </c>
      <c r="C305" s="17" t="s">
        <v>383</v>
      </c>
      <c r="D305" s="17" t="s">
        <v>13</v>
      </c>
      <c r="E305" s="17" t="s">
        <v>384</v>
      </c>
      <c r="F305" s="17" t="s">
        <v>129</v>
      </c>
      <c r="G305" s="4" t="s">
        <v>577</v>
      </c>
      <c r="H305" s="34"/>
      <c r="I305" s="17"/>
    </row>
    <row r="306" spans="1:9" s="30" customFormat="1" ht="22.5" customHeight="1" x14ac:dyDescent="0.3">
      <c r="A306" s="4">
        <v>116</v>
      </c>
      <c r="B306" s="17" t="s">
        <v>364</v>
      </c>
      <c r="C306" s="17" t="s">
        <v>385</v>
      </c>
      <c r="D306" s="17" t="s">
        <v>13</v>
      </c>
      <c r="E306" s="17" t="s">
        <v>386</v>
      </c>
      <c r="F306" s="17" t="s">
        <v>58</v>
      </c>
      <c r="G306" s="4" t="s">
        <v>577</v>
      </c>
      <c r="H306" s="34"/>
      <c r="I306" s="17"/>
    </row>
    <row r="307" spans="1:9" s="30" customFormat="1" ht="22.5" customHeight="1" x14ac:dyDescent="0.3">
      <c r="A307" s="4">
        <v>117</v>
      </c>
      <c r="B307" s="17" t="s">
        <v>364</v>
      </c>
      <c r="C307" s="17" t="s">
        <v>387</v>
      </c>
      <c r="D307" s="17" t="s">
        <v>13</v>
      </c>
      <c r="E307" s="17" t="s">
        <v>388</v>
      </c>
      <c r="F307" s="17" t="s">
        <v>129</v>
      </c>
      <c r="G307" s="4" t="s">
        <v>577</v>
      </c>
      <c r="H307" s="34"/>
      <c r="I307" s="17"/>
    </row>
    <row r="308" spans="1:9" s="30" customFormat="1" ht="22.5" customHeight="1" x14ac:dyDescent="0.3">
      <c r="A308" s="4">
        <v>118</v>
      </c>
      <c r="B308" s="17" t="s">
        <v>364</v>
      </c>
      <c r="C308" s="17" t="s">
        <v>389</v>
      </c>
      <c r="D308" s="17" t="s">
        <v>13</v>
      </c>
      <c r="E308" s="17" t="s">
        <v>390</v>
      </c>
      <c r="F308" s="17" t="s">
        <v>129</v>
      </c>
      <c r="G308" s="4" t="s">
        <v>577</v>
      </c>
      <c r="H308" s="34"/>
      <c r="I308" s="17"/>
    </row>
    <row r="309" spans="1:9" s="30" customFormat="1" ht="22.5" customHeight="1" x14ac:dyDescent="0.3">
      <c r="A309" s="4">
        <v>119</v>
      </c>
      <c r="B309" s="17" t="s">
        <v>364</v>
      </c>
      <c r="C309" s="17" t="s">
        <v>391</v>
      </c>
      <c r="D309" s="17" t="s">
        <v>13</v>
      </c>
      <c r="E309" s="17" t="s">
        <v>392</v>
      </c>
      <c r="F309" s="17" t="s">
        <v>58</v>
      </c>
      <c r="G309" s="4" t="s">
        <v>577</v>
      </c>
      <c r="H309" s="34"/>
      <c r="I309" s="17"/>
    </row>
    <row r="310" spans="1:9" s="30" customFormat="1" ht="22.5" customHeight="1" x14ac:dyDescent="0.3">
      <c r="A310" s="4">
        <v>120</v>
      </c>
      <c r="B310" s="17" t="s">
        <v>364</v>
      </c>
      <c r="C310" s="17" t="s">
        <v>393</v>
      </c>
      <c r="D310" s="17" t="s">
        <v>13</v>
      </c>
      <c r="E310" s="17" t="s">
        <v>394</v>
      </c>
      <c r="F310" s="17" t="s">
        <v>129</v>
      </c>
      <c r="G310" s="4" t="s">
        <v>577</v>
      </c>
      <c r="H310" s="34"/>
      <c r="I310" s="17"/>
    </row>
    <row r="311" spans="1:9" s="30" customFormat="1" ht="22.5" customHeight="1" x14ac:dyDescent="0.3">
      <c r="A311" s="4">
        <v>121</v>
      </c>
      <c r="B311" s="17" t="s">
        <v>364</v>
      </c>
      <c r="C311" s="17" t="s">
        <v>395</v>
      </c>
      <c r="D311" s="17" t="s">
        <v>13</v>
      </c>
      <c r="E311" s="17" t="s">
        <v>396</v>
      </c>
      <c r="F311" s="17" t="s">
        <v>129</v>
      </c>
      <c r="G311" s="4" t="s">
        <v>577</v>
      </c>
      <c r="H311" s="34"/>
      <c r="I311" s="17"/>
    </row>
    <row r="312" spans="1:9" s="30" customFormat="1" ht="22.5" customHeight="1" x14ac:dyDescent="0.3">
      <c r="A312" s="4">
        <v>122</v>
      </c>
      <c r="B312" s="17" t="s">
        <v>364</v>
      </c>
      <c r="C312" s="17" t="s">
        <v>397</v>
      </c>
      <c r="D312" s="17" t="s">
        <v>13</v>
      </c>
      <c r="E312" s="17" t="s">
        <v>398</v>
      </c>
      <c r="F312" s="17" t="s">
        <v>129</v>
      </c>
      <c r="G312" s="4" t="s">
        <v>577</v>
      </c>
      <c r="H312" s="34"/>
      <c r="I312" s="17"/>
    </row>
    <row r="313" spans="1:9" s="30" customFormat="1" ht="22.5" customHeight="1" x14ac:dyDescent="0.3">
      <c r="A313" s="4">
        <v>123</v>
      </c>
      <c r="B313" s="17" t="s">
        <v>364</v>
      </c>
      <c r="C313" s="17" t="s">
        <v>399</v>
      </c>
      <c r="D313" s="17" t="s">
        <v>13</v>
      </c>
      <c r="E313" s="17" t="s">
        <v>400</v>
      </c>
      <c r="F313" s="17" t="s">
        <v>58</v>
      </c>
      <c r="G313" s="4" t="s">
        <v>577</v>
      </c>
      <c r="H313" s="34"/>
      <c r="I313" s="17"/>
    </row>
    <row r="314" spans="1:9" s="30" customFormat="1" ht="22.5" customHeight="1" x14ac:dyDescent="0.3">
      <c r="A314" s="4">
        <v>124</v>
      </c>
      <c r="B314" s="17" t="s">
        <v>364</v>
      </c>
      <c r="C314" s="17" t="s">
        <v>401</v>
      </c>
      <c r="D314" s="17" t="s">
        <v>13</v>
      </c>
      <c r="E314" s="17" t="s">
        <v>79</v>
      </c>
      <c r="F314" s="17" t="s">
        <v>129</v>
      </c>
      <c r="G314" s="4" t="s">
        <v>577</v>
      </c>
      <c r="H314" s="34"/>
      <c r="I314" s="17"/>
    </row>
    <row r="315" spans="1:9" s="30" customFormat="1" ht="22.5" customHeight="1" x14ac:dyDescent="0.3">
      <c r="A315" s="4">
        <v>125</v>
      </c>
      <c r="B315" s="17" t="s">
        <v>364</v>
      </c>
      <c r="C315" s="17" t="s">
        <v>402</v>
      </c>
      <c r="D315" s="17" t="s">
        <v>13</v>
      </c>
      <c r="E315" s="17" t="s">
        <v>79</v>
      </c>
      <c r="F315" s="17" t="s">
        <v>129</v>
      </c>
      <c r="G315" s="4" t="s">
        <v>577</v>
      </c>
      <c r="H315" s="34"/>
      <c r="I315" s="17"/>
    </row>
    <row r="316" spans="1:9" s="30" customFormat="1" ht="22.5" customHeight="1" x14ac:dyDescent="0.3">
      <c r="A316" s="4">
        <v>126</v>
      </c>
      <c r="B316" s="17" t="s">
        <v>364</v>
      </c>
      <c r="C316" s="17" t="s">
        <v>403</v>
      </c>
      <c r="D316" s="17" t="s">
        <v>13</v>
      </c>
      <c r="E316" s="17" t="s">
        <v>404</v>
      </c>
      <c r="F316" s="17" t="s">
        <v>58</v>
      </c>
      <c r="G316" s="4" t="s">
        <v>577</v>
      </c>
      <c r="H316" s="34"/>
      <c r="I316" s="17"/>
    </row>
    <row r="317" spans="1:9" s="30" customFormat="1" ht="22.5" customHeight="1" x14ac:dyDescent="0.3">
      <c r="A317" s="4">
        <v>127</v>
      </c>
      <c r="B317" s="17" t="s">
        <v>364</v>
      </c>
      <c r="C317" s="17" t="s">
        <v>405</v>
      </c>
      <c r="D317" s="17" t="s">
        <v>13</v>
      </c>
      <c r="E317" s="17" t="s">
        <v>79</v>
      </c>
      <c r="F317" s="17" t="s">
        <v>129</v>
      </c>
      <c r="G317" s="4" t="s">
        <v>577</v>
      </c>
      <c r="H317" s="34"/>
      <c r="I317" s="17"/>
    </row>
    <row r="318" spans="1:9" s="30" customFormat="1" ht="22.5" customHeight="1" x14ac:dyDescent="0.3">
      <c r="A318" s="4">
        <v>128</v>
      </c>
      <c r="B318" s="17" t="s">
        <v>406</v>
      </c>
      <c r="C318" s="17" t="s">
        <v>407</v>
      </c>
      <c r="D318" s="17" t="s">
        <v>13</v>
      </c>
      <c r="E318" s="17" t="s">
        <v>408</v>
      </c>
      <c r="F318" s="17" t="s">
        <v>129</v>
      </c>
      <c r="G318" s="4" t="s">
        <v>577</v>
      </c>
      <c r="H318" s="34"/>
      <c r="I318" s="17"/>
    </row>
    <row r="319" spans="1:9" s="30" customFormat="1" ht="22.5" customHeight="1" x14ac:dyDescent="0.3">
      <c r="A319" s="4">
        <v>129</v>
      </c>
      <c r="B319" s="17" t="s">
        <v>409</v>
      </c>
      <c r="C319" s="17" t="s">
        <v>410</v>
      </c>
      <c r="D319" s="17" t="s">
        <v>13</v>
      </c>
      <c r="E319" s="17" t="s">
        <v>411</v>
      </c>
      <c r="F319" s="17" t="s">
        <v>49</v>
      </c>
      <c r="G319" s="4" t="s">
        <v>577</v>
      </c>
      <c r="H319" s="34"/>
      <c r="I319" s="17"/>
    </row>
    <row r="320" spans="1:9" s="30" customFormat="1" ht="22.5" customHeight="1" x14ac:dyDescent="0.3">
      <c r="A320" s="4">
        <v>130</v>
      </c>
      <c r="B320" s="17" t="s">
        <v>412</v>
      </c>
      <c r="C320" s="17" t="s">
        <v>413</v>
      </c>
      <c r="D320" s="17" t="s">
        <v>13</v>
      </c>
      <c r="E320" s="17" t="s">
        <v>414</v>
      </c>
      <c r="F320" s="17" t="s">
        <v>49</v>
      </c>
      <c r="G320" s="4" t="s">
        <v>577</v>
      </c>
      <c r="H320" s="34"/>
      <c r="I320" s="17"/>
    </row>
    <row r="321" spans="1:9" s="30" customFormat="1" ht="22.5" customHeight="1" x14ac:dyDescent="0.3">
      <c r="A321" s="4">
        <v>131</v>
      </c>
      <c r="B321" s="17" t="s">
        <v>412</v>
      </c>
      <c r="C321" s="17" t="s">
        <v>415</v>
      </c>
      <c r="D321" s="17" t="s">
        <v>13</v>
      </c>
      <c r="E321" s="17" t="s">
        <v>416</v>
      </c>
      <c r="F321" s="17" t="s">
        <v>49</v>
      </c>
      <c r="G321" s="4" t="s">
        <v>577</v>
      </c>
      <c r="H321" s="34"/>
      <c r="I321" s="17"/>
    </row>
    <row r="322" spans="1:9" s="30" customFormat="1" ht="22.5" customHeight="1" x14ac:dyDescent="0.3">
      <c r="A322" s="4">
        <v>132</v>
      </c>
      <c r="B322" s="17" t="s">
        <v>412</v>
      </c>
      <c r="C322" s="17" t="s">
        <v>417</v>
      </c>
      <c r="D322" s="17" t="s">
        <v>13</v>
      </c>
      <c r="E322" s="17" t="s">
        <v>418</v>
      </c>
      <c r="F322" s="17" t="s">
        <v>49</v>
      </c>
      <c r="G322" s="4" t="s">
        <v>577</v>
      </c>
      <c r="H322" s="34"/>
      <c r="I322" s="17"/>
    </row>
    <row r="323" spans="1:9" s="30" customFormat="1" ht="22.5" customHeight="1" x14ac:dyDescent="0.3">
      <c r="A323" s="4">
        <v>133</v>
      </c>
      <c r="B323" s="17" t="s">
        <v>412</v>
      </c>
      <c r="C323" s="17" t="s">
        <v>29</v>
      </c>
      <c r="D323" s="17" t="s">
        <v>13</v>
      </c>
      <c r="E323" s="17" t="s">
        <v>419</v>
      </c>
      <c r="F323" s="17" t="s">
        <v>49</v>
      </c>
      <c r="G323" s="4" t="s">
        <v>577</v>
      </c>
      <c r="H323" s="34"/>
      <c r="I323" s="17"/>
    </row>
    <row r="324" spans="1:9" s="30" customFormat="1" ht="22.5" customHeight="1" x14ac:dyDescent="0.3">
      <c r="A324" s="4">
        <v>134</v>
      </c>
      <c r="B324" s="17" t="s">
        <v>412</v>
      </c>
      <c r="C324" s="17" t="s">
        <v>420</v>
      </c>
      <c r="D324" s="17" t="s">
        <v>13</v>
      </c>
      <c r="E324" s="17" t="s">
        <v>421</v>
      </c>
      <c r="F324" s="17" t="s">
        <v>49</v>
      </c>
      <c r="G324" s="4" t="s">
        <v>577</v>
      </c>
      <c r="H324" s="34"/>
      <c r="I324" s="17"/>
    </row>
    <row r="325" spans="1:9" s="30" customFormat="1" ht="22.5" customHeight="1" x14ac:dyDescent="0.3">
      <c r="A325" s="4">
        <v>135</v>
      </c>
      <c r="B325" s="17" t="s">
        <v>412</v>
      </c>
      <c r="C325" s="17" t="s">
        <v>61</v>
      </c>
      <c r="D325" s="17" t="s">
        <v>13</v>
      </c>
      <c r="E325" s="17" t="s">
        <v>422</v>
      </c>
      <c r="F325" s="17" t="s">
        <v>49</v>
      </c>
      <c r="G325" s="4" t="s">
        <v>577</v>
      </c>
      <c r="H325" s="34"/>
      <c r="I325" s="17"/>
    </row>
    <row r="326" spans="1:9" s="30" customFormat="1" ht="22.5" customHeight="1" x14ac:dyDescent="0.3">
      <c r="A326" s="4">
        <v>136</v>
      </c>
      <c r="B326" s="17" t="s">
        <v>412</v>
      </c>
      <c r="C326" s="17" t="s">
        <v>423</v>
      </c>
      <c r="D326" s="17" t="s">
        <v>13</v>
      </c>
      <c r="E326" s="17" t="s">
        <v>424</v>
      </c>
      <c r="F326" s="17" t="s">
        <v>49</v>
      </c>
      <c r="G326" s="4" t="s">
        <v>577</v>
      </c>
      <c r="H326" s="34"/>
      <c r="I326" s="17"/>
    </row>
    <row r="327" spans="1:9" s="30" customFormat="1" ht="22.5" customHeight="1" x14ac:dyDescent="0.3">
      <c r="A327" s="4">
        <v>137</v>
      </c>
      <c r="B327" s="17" t="s">
        <v>412</v>
      </c>
      <c r="C327" s="17" t="s">
        <v>425</v>
      </c>
      <c r="D327" s="17" t="s">
        <v>13</v>
      </c>
      <c r="E327" s="17" t="s">
        <v>426</v>
      </c>
      <c r="F327" s="17" t="s">
        <v>49</v>
      </c>
      <c r="G327" s="4" t="s">
        <v>577</v>
      </c>
      <c r="H327" s="34"/>
      <c r="I327" s="17"/>
    </row>
    <row r="328" spans="1:9" s="30" customFormat="1" ht="22.5" customHeight="1" x14ac:dyDescent="0.3">
      <c r="A328" s="4">
        <v>138</v>
      </c>
      <c r="B328" s="17" t="s">
        <v>412</v>
      </c>
      <c r="C328" s="17" t="s">
        <v>427</v>
      </c>
      <c r="D328" s="17" t="s">
        <v>13</v>
      </c>
      <c r="E328" s="17" t="s">
        <v>428</v>
      </c>
      <c r="F328" s="17" t="s">
        <v>49</v>
      </c>
      <c r="G328" s="4" t="s">
        <v>577</v>
      </c>
      <c r="H328" s="34"/>
      <c r="I328" s="17"/>
    </row>
    <row r="329" spans="1:9" s="30" customFormat="1" ht="22.5" customHeight="1" x14ac:dyDescent="0.3">
      <c r="A329" s="4">
        <v>139</v>
      </c>
      <c r="B329" s="17" t="s">
        <v>412</v>
      </c>
      <c r="C329" s="17" t="s">
        <v>429</v>
      </c>
      <c r="D329" s="17" t="s">
        <v>13</v>
      </c>
      <c r="E329" s="17" t="s">
        <v>430</v>
      </c>
      <c r="F329" s="17" t="s">
        <v>49</v>
      </c>
      <c r="G329" s="4" t="s">
        <v>577</v>
      </c>
      <c r="H329" s="34"/>
      <c r="I329" s="17"/>
    </row>
    <row r="330" spans="1:9" s="30" customFormat="1" ht="22.5" customHeight="1" x14ac:dyDescent="0.3">
      <c r="A330" s="4">
        <v>140</v>
      </c>
      <c r="B330" s="17" t="s">
        <v>412</v>
      </c>
      <c r="C330" s="17" t="s">
        <v>431</v>
      </c>
      <c r="D330" s="17" t="s">
        <v>13</v>
      </c>
      <c r="E330" s="17" t="s">
        <v>432</v>
      </c>
      <c r="F330" s="17" t="s">
        <v>49</v>
      </c>
      <c r="G330" s="4" t="s">
        <v>577</v>
      </c>
      <c r="H330" s="34"/>
      <c r="I330" s="17"/>
    </row>
    <row r="331" spans="1:9" s="30" customFormat="1" ht="22.5" customHeight="1" x14ac:dyDescent="0.3">
      <c r="A331" s="4">
        <v>141</v>
      </c>
      <c r="B331" s="17" t="s">
        <v>412</v>
      </c>
      <c r="C331" s="17" t="s">
        <v>433</v>
      </c>
      <c r="D331" s="17" t="s">
        <v>13</v>
      </c>
      <c r="E331" s="17" t="s">
        <v>434</v>
      </c>
      <c r="F331" s="17" t="s">
        <v>49</v>
      </c>
      <c r="G331" s="4" t="s">
        <v>577</v>
      </c>
      <c r="H331" s="34"/>
      <c r="I331" s="17"/>
    </row>
    <row r="332" spans="1:9" s="30" customFormat="1" ht="22.5" customHeight="1" x14ac:dyDescent="0.3">
      <c r="A332" s="4">
        <v>142</v>
      </c>
      <c r="B332" s="17" t="s">
        <v>412</v>
      </c>
      <c r="C332" s="17" t="s">
        <v>435</v>
      </c>
      <c r="D332" s="17" t="s">
        <v>13</v>
      </c>
      <c r="E332" s="17" t="s">
        <v>436</v>
      </c>
      <c r="F332" s="17" t="s">
        <v>49</v>
      </c>
      <c r="G332" s="4" t="s">
        <v>577</v>
      </c>
      <c r="H332" s="34"/>
      <c r="I332" s="17"/>
    </row>
    <row r="333" spans="1:9" s="30" customFormat="1" ht="22.5" customHeight="1" x14ac:dyDescent="0.3">
      <c r="A333" s="4">
        <v>143</v>
      </c>
      <c r="B333" s="17" t="s">
        <v>437</v>
      </c>
      <c r="C333" s="17" t="s">
        <v>438</v>
      </c>
      <c r="D333" s="17" t="s">
        <v>13</v>
      </c>
      <c r="E333" s="17" t="s">
        <v>439</v>
      </c>
      <c r="F333" s="17" t="s">
        <v>129</v>
      </c>
      <c r="G333" s="4" t="s">
        <v>577</v>
      </c>
      <c r="H333" s="34"/>
      <c r="I333" s="17"/>
    </row>
    <row r="334" spans="1:9" s="30" customFormat="1" ht="22.5" customHeight="1" x14ac:dyDescent="0.3">
      <c r="A334" s="4">
        <v>144</v>
      </c>
      <c r="B334" s="17" t="s">
        <v>437</v>
      </c>
      <c r="C334" s="17" t="s">
        <v>440</v>
      </c>
      <c r="D334" s="17" t="s">
        <v>13</v>
      </c>
      <c r="E334" s="17" t="s">
        <v>441</v>
      </c>
      <c r="F334" s="17" t="s">
        <v>129</v>
      </c>
      <c r="G334" s="4" t="s">
        <v>577</v>
      </c>
      <c r="H334" s="34"/>
      <c r="I334" s="17"/>
    </row>
    <row r="335" spans="1:9" s="30" customFormat="1" ht="22.5" customHeight="1" x14ac:dyDescent="0.3">
      <c r="A335" s="4">
        <v>145</v>
      </c>
      <c r="B335" s="17" t="s">
        <v>437</v>
      </c>
      <c r="C335" s="17" t="s">
        <v>442</v>
      </c>
      <c r="D335" s="17" t="s">
        <v>13</v>
      </c>
      <c r="E335" s="17" t="s">
        <v>443</v>
      </c>
      <c r="F335" s="17" t="s">
        <v>58</v>
      </c>
      <c r="G335" s="4" t="s">
        <v>577</v>
      </c>
      <c r="H335" s="34"/>
      <c r="I335" s="17"/>
    </row>
    <row r="336" spans="1:9" s="30" customFormat="1" ht="22.5" customHeight="1" x14ac:dyDescent="0.3">
      <c r="A336" s="4">
        <v>146</v>
      </c>
      <c r="B336" s="17" t="s">
        <v>437</v>
      </c>
      <c r="C336" s="17" t="s">
        <v>444</v>
      </c>
      <c r="D336" s="17" t="s">
        <v>13</v>
      </c>
      <c r="E336" s="17" t="s">
        <v>445</v>
      </c>
      <c r="F336" s="17" t="s">
        <v>58</v>
      </c>
      <c r="G336" s="4" t="s">
        <v>577</v>
      </c>
      <c r="H336" s="34"/>
      <c r="I336" s="17"/>
    </row>
    <row r="337" spans="1:9" s="30" customFormat="1" ht="22.5" customHeight="1" x14ac:dyDescent="0.3">
      <c r="A337" s="4">
        <v>147</v>
      </c>
      <c r="B337" s="17" t="s">
        <v>437</v>
      </c>
      <c r="C337" s="17" t="s">
        <v>446</v>
      </c>
      <c r="D337" s="17" t="s">
        <v>13</v>
      </c>
      <c r="E337" s="17" t="s">
        <v>447</v>
      </c>
      <c r="F337" s="17" t="s">
        <v>129</v>
      </c>
      <c r="G337" s="4" t="s">
        <v>577</v>
      </c>
      <c r="H337" s="34"/>
      <c r="I337" s="17"/>
    </row>
    <row r="338" spans="1:9" s="30" customFormat="1" ht="22.5" customHeight="1" x14ac:dyDescent="0.3">
      <c r="A338" s="4">
        <v>148</v>
      </c>
      <c r="B338" s="17" t="s">
        <v>437</v>
      </c>
      <c r="C338" s="17" t="s">
        <v>448</v>
      </c>
      <c r="D338" s="17" t="s">
        <v>13</v>
      </c>
      <c r="E338" s="17" t="s">
        <v>449</v>
      </c>
      <c r="F338" s="17" t="s">
        <v>129</v>
      </c>
      <c r="G338" s="4" t="s">
        <v>577</v>
      </c>
      <c r="H338" s="34"/>
      <c r="I338" s="17"/>
    </row>
    <row r="339" spans="1:9" s="30" customFormat="1" ht="22.5" customHeight="1" x14ac:dyDescent="0.3">
      <c r="A339" s="4">
        <v>149</v>
      </c>
      <c r="B339" s="17" t="s">
        <v>450</v>
      </c>
      <c r="C339" s="17" t="s">
        <v>451</v>
      </c>
      <c r="D339" s="17" t="s">
        <v>13</v>
      </c>
      <c r="E339" s="17" t="s">
        <v>100</v>
      </c>
      <c r="F339" s="17" t="s">
        <v>129</v>
      </c>
      <c r="G339" s="4" t="s">
        <v>577</v>
      </c>
      <c r="H339" s="34"/>
      <c r="I339" s="17"/>
    </row>
    <row r="340" spans="1:9" s="30" customFormat="1" ht="22.5" customHeight="1" x14ac:dyDescent="0.3">
      <c r="A340" s="4">
        <v>150</v>
      </c>
      <c r="B340" s="17" t="s">
        <v>450</v>
      </c>
      <c r="C340" s="17" t="s">
        <v>452</v>
      </c>
      <c r="D340" s="17" t="s">
        <v>13</v>
      </c>
      <c r="E340" s="17" t="s">
        <v>453</v>
      </c>
      <c r="F340" s="17" t="s">
        <v>58</v>
      </c>
      <c r="G340" s="4" t="s">
        <v>577</v>
      </c>
      <c r="H340" s="34"/>
      <c r="I340" s="17"/>
    </row>
    <row r="341" spans="1:9" s="30" customFormat="1" ht="22.5" customHeight="1" x14ac:dyDescent="0.3">
      <c r="A341" s="4">
        <v>151</v>
      </c>
      <c r="B341" s="17" t="s">
        <v>450</v>
      </c>
      <c r="C341" s="17" t="s">
        <v>454</v>
      </c>
      <c r="D341" s="17" t="s">
        <v>13</v>
      </c>
      <c r="E341" s="17" t="s">
        <v>455</v>
      </c>
      <c r="F341" s="17" t="s">
        <v>129</v>
      </c>
      <c r="G341" s="4" t="s">
        <v>577</v>
      </c>
      <c r="H341" s="34"/>
      <c r="I341" s="17"/>
    </row>
    <row r="342" spans="1:9" s="30" customFormat="1" ht="22.5" customHeight="1" x14ac:dyDescent="0.3">
      <c r="A342" s="4">
        <v>152</v>
      </c>
      <c r="B342" s="17" t="s">
        <v>450</v>
      </c>
      <c r="C342" s="17" t="s">
        <v>456</v>
      </c>
      <c r="D342" s="17" t="s">
        <v>13</v>
      </c>
      <c r="E342" s="17" t="s">
        <v>457</v>
      </c>
      <c r="F342" s="17" t="s">
        <v>58</v>
      </c>
      <c r="G342" s="4" t="s">
        <v>577</v>
      </c>
      <c r="H342" s="34"/>
      <c r="I342" s="17"/>
    </row>
    <row r="343" spans="1:9" s="30" customFormat="1" ht="22.5" customHeight="1" x14ac:dyDescent="0.3">
      <c r="A343" s="4">
        <v>153</v>
      </c>
      <c r="B343" s="17" t="s">
        <v>458</v>
      </c>
      <c r="C343" s="58" t="s">
        <v>459</v>
      </c>
      <c r="D343" s="17" t="s">
        <v>13</v>
      </c>
      <c r="E343" s="17" t="s">
        <v>460</v>
      </c>
      <c r="F343" s="17" t="s">
        <v>49</v>
      </c>
      <c r="G343" s="4" t="s">
        <v>577</v>
      </c>
      <c r="H343" s="34"/>
      <c r="I343" s="17"/>
    </row>
    <row r="344" spans="1:9" s="30" customFormat="1" ht="22.5" customHeight="1" x14ac:dyDescent="0.3">
      <c r="A344" s="4">
        <v>154</v>
      </c>
      <c r="B344" s="17" t="s">
        <v>458</v>
      </c>
      <c r="C344" s="58" t="s">
        <v>461</v>
      </c>
      <c r="D344" s="17" t="s">
        <v>13</v>
      </c>
      <c r="E344" s="17" t="s">
        <v>462</v>
      </c>
      <c r="F344" s="17" t="s">
        <v>49</v>
      </c>
      <c r="G344" s="4" t="s">
        <v>577</v>
      </c>
      <c r="H344" s="34"/>
      <c r="I344" s="17"/>
    </row>
    <row r="345" spans="1:9" s="30" customFormat="1" ht="22.5" customHeight="1" x14ac:dyDescent="0.3">
      <c r="A345" s="4">
        <v>155</v>
      </c>
      <c r="B345" s="17" t="s">
        <v>458</v>
      </c>
      <c r="C345" s="59" t="s">
        <v>463</v>
      </c>
      <c r="D345" s="17" t="s">
        <v>13</v>
      </c>
      <c r="E345" s="17" t="s">
        <v>464</v>
      </c>
      <c r="F345" s="17" t="s">
        <v>49</v>
      </c>
      <c r="G345" s="4" t="s">
        <v>577</v>
      </c>
      <c r="H345" s="34"/>
      <c r="I345" s="17"/>
    </row>
    <row r="346" spans="1:9" s="30" customFormat="1" ht="22.5" customHeight="1" x14ac:dyDescent="0.3">
      <c r="A346" s="4">
        <v>156</v>
      </c>
      <c r="B346" s="17" t="s">
        <v>458</v>
      </c>
      <c r="C346" s="59" t="s">
        <v>465</v>
      </c>
      <c r="D346" s="17" t="s">
        <v>13</v>
      </c>
      <c r="E346" s="17" t="s">
        <v>466</v>
      </c>
      <c r="F346" s="17" t="s">
        <v>49</v>
      </c>
      <c r="G346" s="4" t="s">
        <v>577</v>
      </c>
      <c r="H346" s="34"/>
      <c r="I346" s="17"/>
    </row>
    <row r="347" spans="1:9" s="30" customFormat="1" ht="22.5" customHeight="1" x14ac:dyDescent="0.3">
      <c r="A347" s="4">
        <v>157</v>
      </c>
      <c r="B347" s="17" t="s">
        <v>458</v>
      </c>
      <c r="C347" s="59" t="s">
        <v>467</v>
      </c>
      <c r="D347" s="17" t="s">
        <v>13</v>
      </c>
      <c r="E347" s="17" t="s">
        <v>468</v>
      </c>
      <c r="F347" s="17" t="s">
        <v>49</v>
      </c>
      <c r="G347" s="4" t="s">
        <v>577</v>
      </c>
      <c r="H347" s="34"/>
      <c r="I347" s="17"/>
    </row>
    <row r="348" spans="1:9" s="30" customFormat="1" ht="22.5" customHeight="1" x14ac:dyDescent="0.3">
      <c r="A348" s="4">
        <v>158</v>
      </c>
      <c r="B348" s="17" t="s">
        <v>458</v>
      </c>
      <c r="C348" s="59" t="s">
        <v>469</v>
      </c>
      <c r="D348" s="17" t="s">
        <v>13</v>
      </c>
      <c r="E348" s="17" t="s">
        <v>470</v>
      </c>
      <c r="F348" s="17" t="s">
        <v>49</v>
      </c>
      <c r="G348" s="4" t="s">
        <v>577</v>
      </c>
      <c r="H348" s="34"/>
      <c r="I348" s="17"/>
    </row>
    <row r="349" spans="1:9" s="30" customFormat="1" ht="22.5" customHeight="1" x14ac:dyDescent="0.3">
      <c r="A349" s="4">
        <v>159</v>
      </c>
      <c r="B349" s="17" t="s">
        <v>458</v>
      </c>
      <c r="C349" s="59" t="s">
        <v>471</v>
      </c>
      <c r="D349" s="17" t="s">
        <v>13</v>
      </c>
      <c r="E349" s="17" t="s">
        <v>472</v>
      </c>
      <c r="F349" s="17" t="s">
        <v>49</v>
      </c>
      <c r="G349" s="4" t="s">
        <v>577</v>
      </c>
      <c r="H349" s="34"/>
      <c r="I349" s="17"/>
    </row>
    <row r="350" spans="1:9" s="30" customFormat="1" ht="22.5" customHeight="1" x14ac:dyDescent="0.3">
      <c r="A350" s="4">
        <v>160</v>
      </c>
      <c r="B350" s="17" t="s">
        <v>458</v>
      </c>
      <c r="C350" s="59" t="s">
        <v>473</v>
      </c>
      <c r="D350" s="17" t="s">
        <v>13</v>
      </c>
      <c r="E350" s="17" t="s">
        <v>474</v>
      </c>
      <c r="F350" s="17" t="s">
        <v>49</v>
      </c>
      <c r="G350" s="4" t="s">
        <v>577</v>
      </c>
      <c r="H350" s="34"/>
      <c r="I350" s="17"/>
    </row>
    <row r="351" spans="1:9" s="30" customFormat="1" ht="22.5" customHeight="1" x14ac:dyDescent="0.3">
      <c r="A351" s="4">
        <v>161</v>
      </c>
      <c r="B351" s="17" t="s">
        <v>458</v>
      </c>
      <c r="C351" s="59" t="s">
        <v>475</v>
      </c>
      <c r="D351" s="17" t="s">
        <v>13</v>
      </c>
      <c r="E351" s="17" t="s">
        <v>476</v>
      </c>
      <c r="F351" s="17" t="s">
        <v>49</v>
      </c>
      <c r="G351" s="4" t="s">
        <v>577</v>
      </c>
      <c r="H351" s="34"/>
      <c r="I351" s="17"/>
    </row>
    <row r="352" spans="1:9" ht="22.5" customHeight="1" x14ac:dyDescent="0.3">
      <c r="A352" s="4">
        <v>162</v>
      </c>
      <c r="B352" s="20" t="s">
        <v>477</v>
      </c>
      <c r="C352" s="20" t="s">
        <v>478</v>
      </c>
      <c r="D352" s="17" t="s">
        <v>13</v>
      </c>
      <c r="E352" s="20" t="s">
        <v>479</v>
      </c>
      <c r="F352" s="20"/>
      <c r="G352" s="4" t="s">
        <v>577</v>
      </c>
      <c r="H352" s="34"/>
      <c r="I352" s="20"/>
    </row>
    <row r="353" spans="1:9" ht="22.5" customHeight="1" x14ac:dyDescent="0.3">
      <c r="A353" s="4">
        <v>163</v>
      </c>
      <c r="B353" s="20" t="s">
        <v>477</v>
      </c>
      <c r="C353" s="20" t="s">
        <v>480</v>
      </c>
      <c r="D353" s="17" t="s">
        <v>13</v>
      </c>
      <c r="E353" s="20" t="s">
        <v>481</v>
      </c>
      <c r="F353" s="20" t="s">
        <v>129</v>
      </c>
      <c r="G353" s="4" t="s">
        <v>577</v>
      </c>
      <c r="H353" s="34"/>
      <c r="I353" s="20"/>
    </row>
    <row r="354" spans="1:9" ht="22.5" customHeight="1" x14ac:dyDescent="0.3">
      <c r="A354" s="4">
        <v>164</v>
      </c>
      <c r="B354" s="20" t="s">
        <v>477</v>
      </c>
      <c r="C354" s="20" t="s">
        <v>482</v>
      </c>
      <c r="D354" s="17" t="s">
        <v>13</v>
      </c>
      <c r="E354" s="20" t="s">
        <v>483</v>
      </c>
      <c r="F354" s="20"/>
      <c r="G354" s="4" t="s">
        <v>577</v>
      </c>
      <c r="H354" s="34"/>
      <c r="I354" s="20"/>
    </row>
    <row r="355" spans="1:9" ht="22.5" customHeight="1" x14ac:dyDescent="0.3">
      <c r="A355" s="4">
        <v>165</v>
      </c>
      <c r="B355" s="20" t="s">
        <v>477</v>
      </c>
      <c r="C355" s="20" t="s">
        <v>484</v>
      </c>
      <c r="D355" s="17" t="s">
        <v>13</v>
      </c>
      <c r="E355" s="20" t="s">
        <v>485</v>
      </c>
      <c r="F355" s="20"/>
      <c r="G355" s="4" t="s">
        <v>577</v>
      </c>
      <c r="H355" s="34"/>
      <c r="I355" s="20"/>
    </row>
    <row r="356" spans="1:9" ht="22.5" customHeight="1" x14ac:dyDescent="0.3">
      <c r="A356" s="4">
        <v>166</v>
      </c>
      <c r="B356" s="20" t="s">
        <v>477</v>
      </c>
      <c r="C356" s="20" t="s">
        <v>486</v>
      </c>
      <c r="D356" s="17" t="s">
        <v>13</v>
      </c>
      <c r="E356" s="20" t="s">
        <v>487</v>
      </c>
      <c r="F356" s="20"/>
      <c r="G356" s="4" t="s">
        <v>577</v>
      </c>
      <c r="H356" s="34"/>
      <c r="I356" s="20"/>
    </row>
    <row r="357" spans="1:9" ht="22.5" customHeight="1" x14ac:dyDescent="0.3">
      <c r="A357" s="4">
        <v>167</v>
      </c>
      <c r="B357" s="20" t="s">
        <v>477</v>
      </c>
      <c r="C357" s="20" t="s">
        <v>488</v>
      </c>
      <c r="D357" s="17" t="s">
        <v>13</v>
      </c>
      <c r="E357" s="20" t="s">
        <v>489</v>
      </c>
      <c r="F357" s="20"/>
      <c r="G357" s="4" t="s">
        <v>577</v>
      </c>
      <c r="H357" s="34"/>
      <c r="I357" s="20"/>
    </row>
    <row r="358" spans="1:9" ht="22.5" customHeight="1" x14ac:dyDescent="0.3">
      <c r="A358" s="4">
        <v>168</v>
      </c>
      <c r="B358" s="20" t="s">
        <v>477</v>
      </c>
      <c r="C358" s="20" t="s">
        <v>490</v>
      </c>
      <c r="D358" s="17" t="s">
        <v>13</v>
      </c>
      <c r="E358" s="20" t="s">
        <v>491</v>
      </c>
      <c r="F358" s="20"/>
      <c r="G358" s="4" t="s">
        <v>577</v>
      </c>
      <c r="H358" s="34"/>
      <c r="I358" s="20"/>
    </row>
    <row r="359" spans="1:9" ht="22.5" customHeight="1" x14ac:dyDescent="0.3">
      <c r="A359" s="4">
        <v>169</v>
      </c>
      <c r="B359" s="20" t="s">
        <v>477</v>
      </c>
      <c r="C359" s="20" t="s">
        <v>492</v>
      </c>
      <c r="D359" s="17" t="s">
        <v>13</v>
      </c>
      <c r="E359" s="20" t="s">
        <v>493</v>
      </c>
      <c r="F359" s="17" t="s">
        <v>494</v>
      </c>
      <c r="G359" s="4" t="s">
        <v>577</v>
      </c>
      <c r="H359" s="34"/>
      <c r="I359" s="20"/>
    </row>
    <row r="360" spans="1:9" ht="22.5" customHeight="1" x14ac:dyDescent="0.3">
      <c r="A360" s="4">
        <v>170</v>
      </c>
      <c r="B360" s="20" t="s">
        <v>477</v>
      </c>
      <c r="C360" s="20" t="s">
        <v>495</v>
      </c>
      <c r="D360" s="17" t="s">
        <v>13</v>
      </c>
      <c r="E360" s="20" t="s">
        <v>496</v>
      </c>
      <c r="F360" s="20"/>
      <c r="G360" s="4" t="s">
        <v>577</v>
      </c>
      <c r="H360" s="34"/>
      <c r="I360" s="20"/>
    </row>
    <row r="361" spans="1:9" ht="22.5" customHeight="1" x14ac:dyDescent="0.3">
      <c r="A361" s="4">
        <v>171</v>
      </c>
      <c r="B361" s="20" t="s">
        <v>477</v>
      </c>
      <c r="C361" s="20" t="s">
        <v>497</v>
      </c>
      <c r="D361" s="17" t="s">
        <v>13</v>
      </c>
      <c r="E361" s="20" t="s">
        <v>498</v>
      </c>
      <c r="F361" s="17" t="s">
        <v>494</v>
      </c>
      <c r="G361" s="4" t="s">
        <v>577</v>
      </c>
      <c r="H361" s="34"/>
      <c r="I361" s="20"/>
    </row>
    <row r="362" spans="1:9" ht="22.5" customHeight="1" x14ac:dyDescent="0.3">
      <c r="A362" s="4">
        <v>172</v>
      </c>
      <c r="B362" s="20" t="s">
        <v>477</v>
      </c>
      <c r="C362" s="20" t="s">
        <v>499</v>
      </c>
      <c r="D362" s="17" t="s">
        <v>13</v>
      </c>
      <c r="E362" s="20" t="s">
        <v>500</v>
      </c>
      <c r="F362" s="17" t="s">
        <v>494</v>
      </c>
      <c r="G362" s="4" t="s">
        <v>577</v>
      </c>
      <c r="H362" s="34"/>
      <c r="I362" s="20"/>
    </row>
    <row r="363" spans="1:9" ht="22.5" customHeight="1" x14ac:dyDescent="0.3">
      <c r="A363" s="4">
        <v>173</v>
      </c>
      <c r="B363" s="20" t="s">
        <v>477</v>
      </c>
      <c r="C363" s="20" t="s">
        <v>501</v>
      </c>
      <c r="D363" s="17" t="s">
        <v>13</v>
      </c>
      <c r="E363" s="20" t="s">
        <v>502</v>
      </c>
      <c r="F363" s="17" t="s">
        <v>494</v>
      </c>
      <c r="G363" s="4" t="s">
        <v>577</v>
      </c>
      <c r="H363" s="34"/>
      <c r="I363" s="20"/>
    </row>
    <row r="364" spans="1:9" ht="22.5" customHeight="1" x14ac:dyDescent="0.3">
      <c r="A364" s="4">
        <v>174</v>
      </c>
      <c r="B364" s="20" t="s">
        <v>477</v>
      </c>
      <c r="C364" s="20" t="s">
        <v>503</v>
      </c>
      <c r="D364" s="17" t="s">
        <v>13</v>
      </c>
      <c r="E364" s="20" t="s">
        <v>504</v>
      </c>
      <c r="F364" s="17" t="s">
        <v>494</v>
      </c>
      <c r="G364" s="4" t="s">
        <v>577</v>
      </c>
      <c r="H364" s="34"/>
      <c r="I364" s="20"/>
    </row>
    <row r="365" spans="1:9" ht="22.5" customHeight="1" x14ac:dyDescent="0.3">
      <c r="A365" s="4">
        <v>175</v>
      </c>
      <c r="B365" s="20" t="s">
        <v>477</v>
      </c>
      <c r="C365" s="20" t="s">
        <v>505</v>
      </c>
      <c r="D365" s="17" t="s">
        <v>13</v>
      </c>
      <c r="E365" s="20" t="s">
        <v>506</v>
      </c>
      <c r="F365" s="20"/>
      <c r="G365" s="4" t="s">
        <v>577</v>
      </c>
      <c r="H365" s="34"/>
      <c r="I365" s="20"/>
    </row>
    <row r="366" spans="1:9" ht="22.5" customHeight="1" x14ac:dyDescent="0.3">
      <c r="A366" s="4">
        <v>176</v>
      </c>
      <c r="B366" s="20" t="s">
        <v>477</v>
      </c>
      <c r="C366" s="20" t="s">
        <v>507</v>
      </c>
      <c r="D366" s="17" t="s">
        <v>13</v>
      </c>
      <c r="E366" s="20" t="s">
        <v>508</v>
      </c>
      <c r="F366" s="17" t="s">
        <v>494</v>
      </c>
      <c r="G366" s="4" t="s">
        <v>577</v>
      </c>
      <c r="H366" s="34"/>
      <c r="I366" s="20"/>
    </row>
    <row r="367" spans="1:9" ht="22.5" customHeight="1" x14ac:dyDescent="0.3">
      <c r="A367" s="4">
        <v>177</v>
      </c>
      <c r="B367" s="20" t="s">
        <v>477</v>
      </c>
      <c r="C367" s="20" t="s">
        <v>509</v>
      </c>
      <c r="D367" s="17" t="s">
        <v>13</v>
      </c>
      <c r="E367" s="20" t="s">
        <v>510</v>
      </c>
      <c r="F367" s="17" t="s">
        <v>494</v>
      </c>
      <c r="G367" s="4" t="s">
        <v>577</v>
      </c>
      <c r="H367" s="34"/>
      <c r="I367" s="20"/>
    </row>
    <row r="368" spans="1:9" ht="22.5" customHeight="1" x14ac:dyDescent="0.3">
      <c r="A368" s="4">
        <v>178</v>
      </c>
      <c r="B368" s="20" t="s">
        <v>477</v>
      </c>
      <c r="C368" s="20" t="s">
        <v>511</v>
      </c>
      <c r="D368" s="17" t="s">
        <v>13</v>
      </c>
      <c r="E368" s="20" t="s">
        <v>512</v>
      </c>
      <c r="F368" s="17" t="s">
        <v>494</v>
      </c>
      <c r="G368" s="4" t="s">
        <v>577</v>
      </c>
      <c r="H368" s="34"/>
      <c r="I368" s="20"/>
    </row>
    <row r="369" spans="1:9" ht="22.5" customHeight="1" x14ac:dyDescent="0.3">
      <c r="A369" s="4">
        <v>179</v>
      </c>
      <c r="B369" s="20" t="s">
        <v>477</v>
      </c>
      <c r="C369" s="20" t="s">
        <v>513</v>
      </c>
      <c r="D369" s="17" t="s">
        <v>13</v>
      </c>
      <c r="E369" s="20" t="s">
        <v>514</v>
      </c>
      <c r="F369" s="20"/>
      <c r="G369" s="4" t="s">
        <v>577</v>
      </c>
      <c r="H369" s="34"/>
      <c r="I369" s="20"/>
    </row>
    <row r="370" spans="1:9" ht="22.5" customHeight="1" x14ac:dyDescent="0.3">
      <c r="A370" s="4">
        <v>180</v>
      </c>
      <c r="B370" s="17" t="s">
        <v>515</v>
      </c>
      <c r="C370" s="48">
        <v>266</v>
      </c>
      <c r="D370" s="17" t="s">
        <v>13</v>
      </c>
      <c r="E370" s="17" t="s">
        <v>516</v>
      </c>
      <c r="F370" s="17" t="s">
        <v>71</v>
      </c>
      <c r="G370" s="4" t="s">
        <v>577</v>
      </c>
      <c r="H370" s="34"/>
      <c r="I370" s="17"/>
    </row>
    <row r="371" spans="1:9" ht="22.5" customHeight="1" x14ac:dyDescent="0.3">
      <c r="A371" s="4">
        <v>181</v>
      </c>
      <c r="B371" s="17" t="s">
        <v>515</v>
      </c>
      <c r="C371" s="48">
        <v>350</v>
      </c>
      <c r="D371" s="17" t="s">
        <v>13</v>
      </c>
      <c r="E371" s="17" t="s">
        <v>517</v>
      </c>
      <c r="F371" s="17" t="s">
        <v>71</v>
      </c>
      <c r="G371" s="4" t="s">
        <v>577</v>
      </c>
      <c r="H371" s="34"/>
      <c r="I371" s="17"/>
    </row>
    <row r="372" spans="1:9" ht="22.5" customHeight="1" x14ac:dyDescent="0.3">
      <c r="A372" s="4">
        <v>182</v>
      </c>
      <c r="B372" s="17" t="s">
        <v>515</v>
      </c>
      <c r="C372" s="48">
        <v>761</v>
      </c>
      <c r="D372" s="17" t="s">
        <v>13</v>
      </c>
      <c r="E372" s="17" t="s">
        <v>518</v>
      </c>
      <c r="F372" s="17" t="s">
        <v>71</v>
      </c>
      <c r="G372" s="4" t="s">
        <v>577</v>
      </c>
      <c r="H372" s="34"/>
      <c r="I372" s="17"/>
    </row>
    <row r="373" spans="1:9" ht="22.5" customHeight="1" x14ac:dyDescent="0.3">
      <c r="A373" s="4">
        <v>183</v>
      </c>
      <c r="B373" s="17" t="s">
        <v>515</v>
      </c>
      <c r="C373" s="48">
        <v>1400</v>
      </c>
      <c r="D373" s="17" t="s">
        <v>13</v>
      </c>
      <c r="E373" s="17" t="s">
        <v>519</v>
      </c>
      <c r="F373" s="17" t="s">
        <v>520</v>
      </c>
      <c r="G373" s="4" t="s">
        <v>577</v>
      </c>
      <c r="H373" s="34"/>
      <c r="I373" s="17"/>
    </row>
    <row r="374" spans="1:9" ht="22.5" customHeight="1" x14ac:dyDescent="0.3">
      <c r="A374" s="4">
        <v>184</v>
      </c>
      <c r="B374" s="17" t="s">
        <v>515</v>
      </c>
      <c r="C374" s="48">
        <v>1800</v>
      </c>
      <c r="D374" s="17" t="s">
        <v>13</v>
      </c>
      <c r="E374" s="17" t="s">
        <v>521</v>
      </c>
      <c r="F374" s="17" t="s">
        <v>520</v>
      </c>
      <c r="G374" s="4" t="s">
        <v>577</v>
      </c>
      <c r="H374" s="34"/>
      <c r="I374" s="17"/>
    </row>
    <row r="375" spans="1:9" ht="22.5" customHeight="1" x14ac:dyDescent="0.3">
      <c r="A375" s="4">
        <v>185</v>
      </c>
      <c r="B375" s="17" t="s">
        <v>515</v>
      </c>
      <c r="C375" s="48">
        <v>2500</v>
      </c>
      <c r="D375" s="17" t="s">
        <v>13</v>
      </c>
      <c r="E375" s="17" t="s">
        <v>522</v>
      </c>
      <c r="F375" s="17" t="s">
        <v>523</v>
      </c>
      <c r="G375" s="4" t="s">
        <v>577</v>
      </c>
      <c r="H375" s="34"/>
      <c r="I375" s="17"/>
    </row>
    <row r="376" spans="1:9" ht="22.5" customHeight="1" x14ac:dyDescent="0.3">
      <c r="A376" s="4">
        <v>186</v>
      </c>
      <c r="B376" s="17" t="s">
        <v>515</v>
      </c>
      <c r="C376" s="48">
        <v>6870</v>
      </c>
      <c r="D376" s="17" t="s">
        <v>13</v>
      </c>
      <c r="E376" s="17" t="s">
        <v>524</v>
      </c>
      <c r="F376" s="17" t="s">
        <v>525</v>
      </c>
      <c r="G376" s="4" t="s">
        <v>577</v>
      </c>
      <c r="H376" s="34"/>
      <c r="I376" s="17"/>
    </row>
    <row r="377" spans="1:9" ht="22.5" customHeight="1" x14ac:dyDescent="0.3">
      <c r="A377" s="4">
        <v>187</v>
      </c>
      <c r="B377" s="17" t="s">
        <v>515</v>
      </c>
      <c r="C377" s="48">
        <v>16850</v>
      </c>
      <c r="D377" s="17" t="s">
        <v>13</v>
      </c>
      <c r="E377" s="17" t="s">
        <v>79</v>
      </c>
      <c r="F377" s="17" t="s">
        <v>525</v>
      </c>
      <c r="G377" s="4" t="s">
        <v>577</v>
      </c>
      <c r="H377" s="34"/>
      <c r="I377" s="17"/>
    </row>
    <row r="378" spans="1:9" ht="22.5" customHeight="1" x14ac:dyDescent="0.3">
      <c r="A378" s="4">
        <v>188</v>
      </c>
      <c r="B378" s="17" t="s">
        <v>515</v>
      </c>
      <c r="C378" s="48">
        <v>19400</v>
      </c>
      <c r="D378" s="17" t="s">
        <v>13</v>
      </c>
      <c r="E378" s="17" t="s">
        <v>526</v>
      </c>
      <c r="F378" s="17" t="s">
        <v>525</v>
      </c>
      <c r="G378" s="4" t="s">
        <v>577</v>
      </c>
      <c r="H378" s="34"/>
      <c r="I378" s="17"/>
    </row>
    <row r="379" spans="1:9" ht="22.5" customHeight="1" x14ac:dyDescent="0.3">
      <c r="A379" s="4">
        <v>189</v>
      </c>
      <c r="B379" s="17" t="s">
        <v>515</v>
      </c>
      <c r="C379" s="48">
        <v>22935</v>
      </c>
      <c r="D379" s="17" t="s">
        <v>13</v>
      </c>
      <c r="E379" s="17" t="s">
        <v>527</v>
      </c>
      <c r="F379" s="17" t="s">
        <v>525</v>
      </c>
      <c r="G379" s="4" t="s">
        <v>577</v>
      </c>
      <c r="H379" s="34"/>
      <c r="I379" s="17"/>
    </row>
    <row r="380" spans="1:9" ht="22.5" customHeight="1" x14ac:dyDescent="0.3">
      <c r="A380" s="4">
        <v>190</v>
      </c>
      <c r="B380" s="17" t="s">
        <v>515</v>
      </c>
      <c r="C380" s="48">
        <v>25500</v>
      </c>
      <c r="D380" s="17" t="s">
        <v>13</v>
      </c>
      <c r="E380" s="17" t="s">
        <v>79</v>
      </c>
      <c r="F380" s="17" t="s">
        <v>525</v>
      </c>
      <c r="G380" s="4" t="s">
        <v>577</v>
      </c>
      <c r="H380" s="34"/>
      <c r="I380" s="17"/>
    </row>
    <row r="381" spans="1:9" ht="22.5" customHeight="1" x14ac:dyDescent="0.3">
      <c r="A381" s="4">
        <v>191</v>
      </c>
      <c r="B381" s="17" t="s">
        <v>515</v>
      </c>
      <c r="C381" s="48">
        <v>31400</v>
      </c>
      <c r="D381" s="17" t="s">
        <v>13</v>
      </c>
      <c r="E381" s="17" t="s">
        <v>528</v>
      </c>
      <c r="F381" s="17" t="s">
        <v>525</v>
      </c>
      <c r="G381" s="4" t="s">
        <v>577</v>
      </c>
      <c r="H381" s="34"/>
      <c r="I381" s="17"/>
    </row>
    <row r="382" spans="1:9" ht="22.5" customHeight="1" x14ac:dyDescent="0.3">
      <c r="A382" s="4">
        <v>192</v>
      </c>
      <c r="B382" s="17" t="s">
        <v>515</v>
      </c>
      <c r="C382" s="48">
        <v>31950</v>
      </c>
      <c r="D382" s="17" t="s">
        <v>13</v>
      </c>
      <c r="E382" s="17" t="s">
        <v>529</v>
      </c>
      <c r="F382" s="17" t="s">
        <v>520</v>
      </c>
      <c r="G382" s="4" t="s">
        <v>577</v>
      </c>
      <c r="H382" s="34"/>
      <c r="I382" s="17"/>
    </row>
    <row r="383" spans="1:9" ht="22.5" customHeight="1" x14ac:dyDescent="0.3">
      <c r="A383" s="4">
        <v>193</v>
      </c>
      <c r="B383" s="17" t="s">
        <v>530</v>
      </c>
      <c r="C383" s="48">
        <v>50</v>
      </c>
      <c r="D383" s="17" t="s">
        <v>13</v>
      </c>
      <c r="E383" s="17" t="s">
        <v>68</v>
      </c>
      <c r="F383" s="17" t="s">
        <v>520</v>
      </c>
      <c r="G383" s="4" t="s">
        <v>577</v>
      </c>
      <c r="H383" s="34"/>
      <c r="I383" s="17"/>
    </row>
    <row r="384" spans="1:9" ht="22.5" customHeight="1" x14ac:dyDescent="0.3">
      <c r="A384" s="4">
        <v>194</v>
      </c>
      <c r="B384" s="17" t="s">
        <v>530</v>
      </c>
      <c r="C384" s="48">
        <v>4970</v>
      </c>
      <c r="D384" s="17" t="s">
        <v>13</v>
      </c>
      <c r="E384" s="17" t="s">
        <v>531</v>
      </c>
      <c r="F384" s="17" t="s">
        <v>520</v>
      </c>
      <c r="G384" s="4" t="s">
        <v>577</v>
      </c>
      <c r="H384" s="34"/>
      <c r="I384" s="17"/>
    </row>
    <row r="385" spans="1:11" ht="22.5" customHeight="1" x14ac:dyDescent="0.3">
      <c r="A385" s="4">
        <v>195</v>
      </c>
      <c r="B385" s="17" t="s">
        <v>530</v>
      </c>
      <c r="C385" s="48">
        <v>9484</v>
      </c>
      <c r="D385" s="17" t="s">
        <v>13</v>
      </c>
      <c r="E385" s="17" t="s">
        <v>532</v>
      </c>
      <c r="F385" s="17" t="s">
        <v>520</v>
      </c>
      <c r="G385" s="4" t="s">
        <v>577</v>
      </c>
      <c r="H385" s="34"/>
      <c r="I385" s="17"/>
    </row>
    <row r="386" spans="1:11" ht="22.5" customHeight="1" x14ac:dyDescent="0.3">
      <c r="A386" s="4">
        <v>196</v>
      </c>
      <c r="B386" s="17" t="s">
        <v>530</v>
      </c>
      <c r="C386" s="48">
        <v>18060</v>
      </c>
      <c r="D386" s="17" t="s">
        <v>13</v>
      </c>
      <c r="E386" s="17" t="s">
        <v>533</v>
      </c>
      <c r="F386" s="17" t="s">
        <v>520</v>
      </c>
      <c r="G386" s="4" t="s">
        <v>577</v>
      </c>
      <c r="H386" s="34"/>
      <c r="I386" s="17"/>
    </row>
    <row r="387" spans="1:11" ht="22.5" customHeight="1" x14ac:dyDescent="0.3">
      <c r="A387" s="4">
        <v>197</v>
      </c>
      <c r="B387" s="17" t="s">
        <v>534</v>
      </c>
      <c r="C387" s="20" t="s">
        <v>535</v>
      </c>
      <c r="D387" s="17" t="s">
        <v>13</v>
      </c>
      <c r="E387" s="20" t="s">
        <v>536</v>
      </c>
      <c r="F387" s="20"/>
      <c r="G387" s="4"/>
      <c r="H387" s="34"/>
      <c r="I387" s="17" t="s">
        <v>537</v>
      </c>
      <c r="K387" s="2" t="s">
        <v>538</v>
      </c>
    </row>
    <row r="388" spans="1:11" ht="22.5" customHeight="1" x14ac:dyDescent="0.3">
      <c r="A388" s="4">
        <v>198</v>
      </c>
      <c r="B388" s="17" t="s">
        <v>534</v>
      </c>
      <c r="C388" s="20" t="s">
        <v>539</v>
      </c>
      <c r="D388" s="17" t="s">
        <v>13</v>
      </c>
      <c r="E388" s="20" t="s">
        <v>540</v>
      </c>
      <c r="F388" s="20"/>
      <c r="G388" s="4" t="s">
        <v>577</v>
      </c>
      <c r="H388" s="34"/>
      <c r="I388" s="20"/>
      <c r="K388" s="2" t="s">
        <v>541</v>
      </c>
    </row>
    <row r="389" spans="1:11" ht="22.5" customHeight="1" x14ac:dyDescent="0.3">
      <c r="A389" s="4">
        <v>199</v>
      </c>
      <c r="B389" s="17" t="s">
        <v>534</v>
      </c>
      <c r="C389" s="20" t="s">
        <v>542</v>
      </c>
      <c r="D389" s="17" t="s">
        <v>13</v>
      </c>
      <c r="E389" s="20" t="s">
        <v>543</v>
      </c>
      <c r="F389" s="20"/>
      <c r="G389" s="4" t="s">
        <v>577</v>
      </c>
      <c r="H389" s="34"/>
      <c r="I389" s="20"/>
      <c r="K389" s="2" t="s">
        <v>544</v>
      </c>
    </row>
    <row r="390" spans="1:11" ht="22.5" customHeight="1" x14ac:dyDescent="0.3">
      <c r="A390" s="4">
        <v>200</v>
      </c>
      <c r="B390" s="17" t="s">
        <v>534</v>
      </c>
      <c r="C390" s="20" t="s">
        <v>545</v>
      </c>
      <c r="D390" s="17" t="s">
        <v>13</v>
      </c>
      <c r="E390" s="20" t="s">
        <v>543</v>
      </c>
      <c r="F390" s="20"/>
      <c r="G390" s="4" t="s">
        <v>577</v>
      </c>
      <c r="H390" s="34"/>
      <c r="I390" s="20"/>
      <c r="K390" s="2" t="s">
        <v>546</v>
      </c>
    </row>
    <row r="391" spans="1:11" ht="22.5" customHeight="1" x14ac:dyDescent="0.3">
      <c r="A391" s="4">
        <v>201</v>
      </c>
      <c r="B391" s="17" t="s">
        <v>534</v>
      </c>
      <c r="C391" s="20" t="s">
        <v>547</v>
      </c>
      <c r="D391" s="17" t="s">
        <v>13</v>
      </c>
      <c r="E391" s="20" t="s">
        <v>68</v>
      </c>
      <c r="F391" s="20" t="s">
        <v>58</v>
      </c>
      <c r="G391" s="4" t="s">
        <v>577</v>
      </c>
      <c r="H391" s="34"/>
      <c r="I391" s="20"/>
      <c r="K391" s="2" t="s">
        <v>548</v>
      </c>
    </row>
    <row r="392" spans="1:11" ht="22.5" customHeight="1" x14ac:dyDescent="0.3">
      <c r="A392" s="4">
        <v>202</v>
      </c>
      <c r="B392" s="17" t="s">
        <v>534</v>
      </c>
      <c r="C392" s="20" t="s">
        <v>549</v>
      </c>
      <c r="D392" s="17" t="s">
        <v>13</v>
      </c>
      <c r="E392" s="20" t="s">
        <v>543</v>
      </c>
      <c r="F392" s="20"/>
      <c r="G392" s="4" t="s">
        <v>577</v>
      </c>
      <c r="H392" s="34"/>
      <c r="I392" s="20"/>
      <c r="K392" s="2" t="s">
        <v>546</v>
      </c>
    </row>
    <row r="393" spans="1:11" ht="22.5" customHeight="1" x14ac:dyDescent="0.3">
      <c r="A393" s="4">
        <v>203</v>
      </c>
      <c r="B393" s="17" t="s">
        <v>534</v>
      </c>
      <c r="C393" s="20" t="s">
        <v>550</v>
      </c>
      <c r="D393" s="17" t="s">
        <v>13</v>
      </c>
      <c r="E393" s="20" t="s">
        <v>543</v>
      </c>
      <c r="F393" s="20"/>
      <c r="G393" s="4" t="s">
        <v>577</v>
      </c>
      <c r="H393" s="34"/>
      <c r="I393" s="20"/>
      <c r="K393" s="2" t="s">
        <v>544</v>
      </c>
    </row>
    <row r="394" spans="1:11" ht="22.5" customHeight="1" x14ac:dyDescent="0.3">
      <c r="A394" s="4">
        <v>204</v>
      </c>
      <c r="B394" s="17" t="s">
        <v>551</v>
      </c>
      <c r="C394" s="17" t="s">
        <v>552</v>
      </c>
      <c r="D394" s="17" t="s">
        <v>13</v>
      </c>
      <c r="E394" s="17" t="s">
        <v>553</v>
      </c>
      <c r="F394" s="17" t="s">
        <v>58</v>
      </c>
      <c r="G394" s="4" t="s">
        <v>577</v>
      </c>
      <c r="H394" s="34"/>
      <c r="I394" s="17"/>
    </row>
    <row r="395" spans="1:11" ht="22.5" customHeight="1" x14ac:dyDescent="0.3">
      <c r="A395" s="4">
        <v>205</v>
      </c>
      <c r="B395" s="17" t="s">
        <v>554</v>
      </c>
      <c r="C395" s="17" t="s">
        <v>555</v>
      </c>
      <c r="D395" s="17" t="s">
        <v>13</v>
      </c>
      <c r="E395" s="17" t="s">
        <v>556</v>
      </c>
      <c r="F395" s="17" t="s">
        <v>58</v>
      </c>
      <c r="G395" s="4" t="s">
        <v>577</v>
      </c>
      <c r="H395" s="34"/>
      <c r="I395" s="17"/>
    </row>
    <row r="396" spans="1:11" ht="22.5" customHeight="1" x14ac:dyDescent="0.3">
      <c r="A396" s="4">
        <v>206</v>
      </c>
      <c r="B396" s="17" t="s">
        <v>557</v>
      </c>
      <c r="C396" s="17" t="s">
        <v>558</v>
      </c>
      <c r="D396" s="17" t="s">
        <v>13</v>
      </c>
      <c r="E396" s="17" t="s">
        <v>559</v>
      </c>
      <c r="F396" s="17" t="s">
        <v>49</v>
      </c>
      <c r="G396" s="4" t="s">
        <v>577</v>
      </c>
      <c r="H396" s="34"/>
      <c r="I396" s="17"/>
    </row>
    <row r="397" spans="1:11" ht="22.5" customHeight="1" x14ac:dyDescent="0.3">
      <c r="A397" s="4">
        <v>207</v>
      </c>
      <c r="B397" s="17" t="s">
        <v>560</v>
      </c>
      <c r="C397" s="17" t="s">
        <v>561</v>
      </c>
      <c r="D397" s="17" t="s">
        <v>13</v>
      </c>
      <c r="E397" s="17" t="s">
        <v>562</v>
      </c>
      <c r="F397" s="17" t="s">
        <v>49</v>
      </c>
      <c r="G397" s="4" t="s">
        <v>577</v>
      </c>
      <c r="H397" s="34"/>
      <c r="I397" s="17"/>
    </row>
    <row r="398" spans="1:11" x14ac:dyDescent="0.3">
      <c r="A398" s="2" t="s">
        <v>1124</v>
      </c>
    </row>
    <row r="399" spans="1:11" x14ac:dyDescent="0.3">
      <c r="A399" s="72" t="s">
        <v>1168</v>
      </c>
    </row>
    <row r="400" spans="1:11" x14ac:dyDescent="0.3">
      <c r="A400" s="206" t="s">
        <v>1125</v>
      </c>
      <c r="B400" s="206"/>
      <c r="C400" s="206"/>
      <c r="D400" s="206"/>
      <c r="E400" s="206"/>
      <c r="F400" s="206"/>
      <c r="G400" s="206"/>
      <c r="H400" s="206"/>
      <c r="I400" s="206"/>
    </row>
    <row r="401" spans="1:9" x14ac:dyDescent="0.3">
      <c r="A401" s="206" t="s">
        <v>1126</v>
      </c>
      <c r="B401" s="206"/>
      <c r="C401" s="206"/>
      <c r="D401" s="206"/>
      <c r="E401" s="206"/>
      <c r="F401" s="206"/>
      <c r="G401" s="206"/>
      <c r="H401" s="206"/>
      <c r="I401" s="206"/>
    </row>
    <row r="402" spans="1:9" x14ac:dyDescent="0.3">
      <c r="A402" s="206" t="s">
        <v>1127</v>
      </c>
      <c r="B402" s="206"/>
      <c r="C402" s="206"/>
      <c r="D402" s="206"/>
      <c r="E402" s="206"/>
      <c r="F402" s="206"/>
      <c r="G402" s="206"/>
      <c r="H402" s="206"/>
      <c r="I402" s="206"/>
    </row>
    <row r="403" spans="1:9" ht="48" customHeight="1" x14ac:dyDescent="0.3">
      <c r="A403" s="206" t="s">
        <v>355</v>
      </c>
      <c r="B403" s="206"/>
      <c r="C403" s="206"/>
      <c r="D403" s="206"/>
      <c r="E403" s="206"/>
      <c r="F403" s="206"/>
      <c r="G403" s="206"/>
      <c r="H403" s="206"/>
      <c r="I403" s="206"/>
    </row>
  </sheetData>
  <mergeCells count="14">
    <mergeCell ref="A400:I400"/>
    <mergeCell ref="A401:I401"/>
    <mergeCell ref="A402:I402"/>
    <mergeCell ref="A403:I403"/>
    <mergeCell ref="A1:I1"/>
    <mergeCell ref="A2:I2"/>
    <mergeCell ref="A4:A5"/>
    <mergeCell ref="B4:B5"/>
    <mergeCell ref="C4:C5"/>
    <mergeCell ref="D4:D5"/>
    <mergeCell ref="E4:H4"/>
    <mergeCell ref="I4:I5"/>
    <mergeCell ref="B190:C190"/>
    <mergeCell ref="B7:C7"/>
  </mergeCells>
  <printOptions horizontalCentered="1"/>
  <pageMargins left="0.31496062992125984" right="0.31496062992125984" top="0.74803149606299213" bottom="0.55118110236220474" header="0.31496062992125984" footer="0.31496062992125984"/>
  <pageSetup paperSize="9" scale="94" fitToWidth="0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Phụ Lục 1</vt:lpstr>
      <vt:lpstr>Phụ Lục 2</vt:lpstr>
      <vt:lpstr>Phụ Lục 3</vt:lpstr>
      <vt:lpstr>'Phụ Lục 1'!Print_Area</vt:lpstr>
      <vt:lpstr>'Phụ Lục 2'!Print_Area</vt:lpstr>
      <vt:lpstr>'Phụ Lục 3'!Print_Area</vt:lpstr>
      <vt:lpstr>'Phụ Lục 1'!Print_Titles</vt:lpstr>
      <vt:lpstr>'Phụ Lục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Cường</dc:creator>
  <cp:lastModifiedBy>Văn Hữu Thành</cp:lastModifiedBy>
  <cp:lastPrinted>2026-03-01T09:25:10Z</cp:lastPrinted>
  <dcterms:created xsi:type="dcterms:W3CDTF">2025-05-29T01:39:11Z</dcterms:created>
  <dcterms:modified xsi:type="dcterms:W3CDTF">2026-03-03T08:27:57Z</dcterms:modified>
</cp:coreProperties>
</file>