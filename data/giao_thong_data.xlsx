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ropbox\@Giaothong2\data\"/>
    </mc:Choice>
  </mc:AlternateContent>
  <xr:revisionPtr revIDLastSave="0" documentId="13_ncr:1_{B9B45C31-ED11-4262-8145-50536EDC8619}" xr6:coauthVersionLast="47" xr6:coauthVersionMax="47" xr10:uidLastSave="{00000000-0000-0000-0000-000000000000}"/>
  <bookViews>
    <workbookView xWindow="30612" yWindow="-6000" windowWidth="30936" windowHeight="16896" xr2:uid="{00000000-000D-0000-FFFF-FFFF00000000}"/>
  </bookViews>
  <sheets>
    <sheet name="TuyenDuong" sheetId="1" r:id="rId1"/>
    <sheet name="DoanTuyen" sheetId="2" r:id="rId2"/>
    <sheet name="DoanDiChung" sheetId="3" r:id="rId3"/>
    <sheet name="TinhTrang" sheetId="7" r:id="rId4"/>
    <sheet name="DonVi" sheetId="4" r:id="rId5"/>
    <sheet name="CapQuanLy" sheetId="5" r:id="rId6"/>
    <sheet name="CapDuong" sheetId="6" r:id="rId7"/>
    <sheet name="KetCauMat" sheetId="9" r:id="rId8"/>
    <sheet name="ThongTinTuyen" sheetId="8" r:id="rId9"/>
  </sheets>
  <definedNames>
    <definedName name="_xlnm._FilterDatabase" localSheetId="2" hidden="1">DoanDiChung!$A$1:$I$13</definedName>
    <definedName name="_xlnm._FilterDatabase" localSheetId="1" hidden="1">DoanTuyen!$A$1:$N$208</definedName>
    <definedName name="_xlnm._FilterDatabase" localSheetId="0" hidden="1">TuyenDuong!$A$1:$O$50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H3" i="3"/>
  <c r="H4" i="3"/>
  <c r="H5" i="3"/>
  <c r="H6" i="3"/>
  <c r="H7" i="3"/>
  <c r="H8" i="3"/>
  <c r="H9" i="3"/>
  <c r="H10" i="3"/>
  <c r="H11" i="3"/>
  <c r="H12" i="3"/>
  <c r="H13" i="3"/>
</calcChain>
</file>

<file path=xl/sharedStrings.xml><?xml version="1.0" encoding="utf-8"?>
<sst xmlns="http://schemas.openxmlformats.org/spreadsheetml/2006/main" count="1546" uniqueCount="653">
  <si>
    <t>Mã tuyến</t>
  </si>
  <si>
    <t>Tên tuyến</t>
  </si>
  <si>
    <t>Cấp quản lý</t>
  </si>
  <si>
    <t>CD quản lý (km)</t>
  </si>
  <si>
    <t>CD thực tế (km)</t>
  </si>
  <si>
    <t>Đơn vị quản lý</t>
  </si>
  <si>
    <t>Điểm đầu</t>
  </si>
  <si>
    <t>Điểm cuối</t>
  </si>
  <si>
    <t>Lat đầu</t>
  </si>
  <si>
    <t>Lng đầu</t>
  </si>
  <si>
    <t>Lat cuối</t>
  </si>
  <si>
    <t>Lng cuối</t>
  </si>
  <si>
    <t>Năm xây dựng</t>
  </si>
  <si>
    <t>Năm hoàn thành</t>
  </si>
  <si>
    <t>Ghi chú</t>
  </si>
  <si>
    <t>QL4</t>
  </si>
  <si>
    <t>Quốc lộ 4</t>
  </si>
  <si>
    <t>QL</t>
  </si>
  <si>
    <t>Giao QL.4D (Xã Mường Khương)</t>
  </si>
  <si>
    <t>Giáp tỉnh Tuyên Quang (xã Tả Củ Tỷ)</t>
  </si>
  <si>
    <t>QL4D</t>
  </si>
  <si>
    <t>Quốc lộ 4D</t>
  </si>
  <si>
    <t>Giáp tỉnh Lai Châu (Phường Sa Pa)</t>
  </si>
  <si>
    <t>Cửa khẩu Sín Tẻn (xã Mường Khương)</t>
  </si>
  <si>
    <t>QL4E</t>
  </si>
  <si>
    <t>Quốc lộ 4E</t>
  </si>
  <si>
    <t>Giao QL.4 (xã Lùng Phình)</t>
  </si>
  <si>
    <t>Cột cờ Lũng Pô (xã A Mú Sung)</t>
  </si>
  <si>
    <t>QL279</t>
  </si>
  <si>
    <t>Quốc lộ 279</t>
  </si>
  <si>
    <t>Giáp tỉnh Tuyên Quang (xã Nghĩa Đô)</t>
  </si>
  <si>
    <t>Giáp tỉnh Lai Châu (xã Nậm Xé)</t>
  </si>
  <si>
    <t>QL37</t>
  </si>
  <si>
    <t>Quốc lộ 37</t>
  </si>
  <si>
    <t>Giáp tỉnh Phú Thọ (xã Thác Bà)</t>
  </si>
  <si>
    <t>Giáp tỉnh Sơn La (xã Thượng Bằng La)</t>
  </si>
  <si>
    <t>QL70</t>
  </si>
  <si>
    <t>Quốc lộ 70</t>
  </si>
  <si>
    <t>Giáp tỉnh Phú Thọ (xã Yên Bình)</t>
  </si>
  <si>
    <t>Cửa khẩu Quốc tế</t>
  </si>
  <si>
    <t>QL32C</t>
  </si>
  <si>
    <t>Quốc lộ 32C</t>
  </si>
  <si>
    <t>Giáp tỉnh Phú Thọ (phường Âu Lâu)</t>
  </si>
  <si>
    <t>Giao QL.37 (phường Âu Lâu)</t>
  </si>
  <si>
    <t>QL2D</t>
  </si>
  <si>
    <t>Quốc lộ 2D</t>
  </si>
  <si>
    <t>Giao QL.37 (xã Thác Bà)</t>
  </si>
  <si>
    <t>QL32</t>
  </si>
  <si>
    <t>Quốc lộ 32</t>
  </si>
  <si>
    <t>Giáp tỉnh Phú Thọ (xã Nghĩa Tâm)</t>
  </si>
  <si>
    <t>Giáp tỉnh Lai Châu (xã Khao Mang)</t>
  </si>
  <si>
    <t>DT151</t>
  </si>
  <si>
    <t>Đường tỉnh 151</t>
  </si>
  <si>
    <t>DT</t>
  </si>
  <si>
    <t>Giao QL.4E (xã Gia Phú)</t>
  </si>
  <si>
    <t>Giao QL,279 (xã Văn Bàn)</t>
  </si>
  <si>
    <t>DT151B</t>
  </si>
  <si>
    <t>Đường tỉnh 151B</t>
  </si>
  <si>
    <t>Giao ĐT.151 (xã Võ Lao)</t>
  </si>
  <si>
    <t>Xã Phong Dụ Hạ</t>
  </si>
  <si>
    <t>DT151C</t>
  </si>
  <si>
    <t>Đường tỉnh 151C</t>
  </si>
  <si>
    <t>Giao QL.4E (xã Bảo Thắng)</t>
  </si>
  <si>
    <t>Đấu nối vào điểm cuối ĐT.163 (xã Châu Quế)</t>
  </si>
  <si>
    <t>DT152</t>
  </si>
  <si>
    <t>Đường tỉnh 152</t>
  </si>
  <si>
    <t>Giao QL.4D (phường Sa Pa)</t>
  </si>
  <si>
    <t>DT152B</t>
  </si>
  <si>
    <t>Đường tỉnh 152B</t>
  </si>
  <si>
    <t>Giao ĐT.152 (xã Bản Hồ)</t>
  </si>
  <si>
    <t>Giao QL.279 (xã Dương Quỳ)</t>
  </si>
  <si>
    <t>DT153</t>
  </si>
  <si>
    <t>Đường tỉnh 153</t>
  </si>
  <si>
    <t>Giao ĐT.154 (xã Bảo Nhai)</t>
  </si>
  <si>
    <t>Giao QL.279 (xã Nghĩa Đô)</t>
  </si>
  <si>
    <t>DT154</t>
  </si>
  <si>
    <t>Đường tỉnh 154</t>
  </si>
  <si>
    <t>Giao QL.70 (Phường Lào Cai)</t>
  </si>
  <si>
    <t>Giao QL.70 (xã Xuân Quang)</t>
  </si>
  <si>
    <t>DT155</t>
  </si>
  <si>
    <t>Đường tỉnh 155</t>
  </si>
  <si>
    <t>Giao ĐT.158 (xã Dền Sáng)</t>
  </si>
  <si>
    <t>Giao QL.4D (xã Cốc San)</t>
  </si>
  <si>
    <t>DT156</t>
  </si>
  <si>
    <t>Đường tỉnh 156</t>
  </si>
  <si>
    <t>Xã Quang Kim</t>
  </si>
  <si>
    <t>Giao ĐT.158 (xã Y Tý)</t>
  </si>
  <si>
    <t>DT156B</t>
  </si>
  <si>
    <t>Đường tỉnh 156B</t>
  </si>
  <si>
    <t>Cửa khẩu Bản Vược</t>
  </si>
  <si>
    <t>Giao ĐT.155 (xã Dền Sáng)</t>
  </si>
  <si>
    <t>DT157</t>
  </si>
  <si>
    <t>Đường tỉnh 157</t>
  </si>
  <si>
    <t>Giao QL.4E (Phường Lào Cai)</t>
  </si>
  <si>
    <t>DT158</t>
  </si>
  <si>
    <t>Đường tỉnh 158</t>
  </si>
  <si>
    <t>Giao QL.4E (xã A Mú Sung)</t>
  </si>
  <si>
    <t>Giáp tỉnh Lai Châu (xã Dền Sáng)</t>
  </si>
  <si>
    <t>DT159</t>
  </si>
  <si>
    <t>Đường tỉnh 159</t>
  </si>
  <si>
    <t>Cửa khẩu Hóa Chư Phùng (xã Si Ma Cai)</t>
  </si>
  <si>
    <t>Giao ĐT.153 (xã Bản Liền)</t>
  </si>
  <si>
    <t>DT160</t>
  </si>
  <si>
    <t>Đường tỉnh 160</t>
  </si>
  <si>
    <t>Giao QL.4E (phường Cam Đường)</t>
  </si>
  <si>
    <t>Xã Tân Lĩnh</t>
  </si>
  <si>
    <t>DT161</t>
  </si>
  <si>
    <t>Đường tỉnh 161</t>
  </si>
  <si>
    <t>Đấu nối ĐT.164 (xã Lâm Giang)</t>
  </si>
  <si>
    <t>DT162</t>
  </si>
  <si>
    <t>Đường tỉnh 162</t>
  </si>
  <si>
    <t>Giao QL.279 (xã Văn Bàn)</t>
  </si>
  <si>
    <t>Giao ĐT.151C (xã Bảo Thắng)</t>
  </si>
  <si>
    <t>DT163</t>
  </si>
  <si>
    <t>Đường tỉnh 163</t>
  </si>
  <si>
    <t>Giao QL.37 (phường Yên Bái)</t>
  </si>
  <si>
    <t>Đấu nối ĐT.151C (xã Bảo Hà)</t>
  </si>
  <si>
    <t>DT164</t>
  </si>
  <si>
    <t>Đường tỉnh 164</t>
  </si>
  <si>
    <t>Giao ĐT.163 (xã Đông Cuông)</t>
  </si>
  <si>
    <t>Đấu nối ĐT.161 (xã Bảo Hà)</t>
  </si>
  <si>
    <t>DT165</t>
  </si>
  <si>
    <t>Đường tỉnh 165</t>
  </si>
  <si>
    <t>Giao ĐT.163 (xã Mậu A)</t>
  </si>
  <si>
    <t>Giao QL.70 (xã Bảo Ái)</t>
  </si>
  <si>
    <t>DT166</t>
  </si>
  <si>
    <t>Đường tỉnh 166</t>
  </si>
  <si>
    <t>DT170</t>
  </si>
  <si>
    <t>Đường tỉnh 170</t>
  </si>
  <si>
    <t>Giao ĐT.171 (xã Lục Yên)</t>
  </si>
  <si>
    <t>DT171</t>
  </si>
  <si>
    <t>Đường tỉnh 171</t>
  </si>
  <si>
    <t>Giao QL.70 (xã Khánh Hòa)</t>
  </si>
  <si>
    <t>Giáp tỉnh Tuyên Quang (xã Lục Yên)</t>
  </si>
  <si>
    <t>DT172</t>
  </si>
  <si>
    <t>Đường tỉnh 172</t>
  </si>
  <si>
    <t>Giao QL.37 (xã Chấn Thịnh)</t>
  </si>
  <si>
    <t>DT173</t>
  </si>
  <si>
    <t>Đường tỉnh 173</t>
  </si>
  <si>
    <t>Giao ĐT.172 (xã Chấn Thịnh)</t>
  </si>
  <si>
    <t>Giao QL.32 xã Nghĩa Tâm</t>
  </si>
  <si>
    <t>DT174</t>
  </si>
  <si>
    <t>Đường tỉnh 174</t>
  </si>
  <si>
    <t>Giao QL.32 (Phường Trung Tâm)</t>
  </si>
  <si>
    <t>Xã Hạnh Phúc</t>
  </si>
  <si>
    <t>DT175</t>
  </si>
  <si>
    <t>Đường tỉnh 175</t>
  </si>
  <si>
    <t>Giao ĐT.166 (xã Mậu A)</t>
  </si>
  <si>
    <t>Giao QL.32 xã Liên Sơn</t>
  </si>
  <si>
    <t>DT175B</t>
  </si>
  <si>
    <t>Đường tỉnh 175B</t>
  </si>
  <si>
    <t>Giao QL.32 xã Púng Luông</t>
  </si>
  <si>
    <t>Xã Púng Luông (giáp tỉnh Sơn La)</t>
  </si>
  <si>
    <t>DX01</t>
  </si>
  <si>
    <t>Đường Trạm Tấu - Bắc Yên</t>
  </si>
  <si>
    <t>DX</t>
  </si>
  <si>
    <t>Giao ĐT.174 (xã Hạnh Phúc)</t>
  </si>
  <si>
    <t>Xã Hạnh Phúc (giáp tỉnh Sơn La)</t>
  </si>
  <si>
    <t>DX02</t>
  </si>
  <si>
    <t>Đường Văn Chấn - Yên Lập</t>
  </si>
  <si>
    <t>Giao ĐT.173 (xã Chấn Thịnh)</t>
  </si>
  <si>
    <t>xã Chấn Thịnh (giáp tỉnh Phú Thọ)</t>
  </si>
  <si>
    <t>DX03</t>
  </si>
  <si>
    <t>Đường Sơn Thịnh - Suối Giàng</t>
  </si>
  <si>
    <t>Giao QL.32 (xã Văn Chấn)</t>
  </si>
  <si>
    <t>Xã Văn Chấn</t>
  </si>
  <si>
    <t>DX04</t>
  </si>
  <si>
    <t>Cầu và Đường Hai Đầu Cầu Cổ Phúc</t>
  </si>
  <si>
    <t>Xã Quy Mông</t>
  </si>
  <si>
    <t>DX05</t>
  </si>
  <si>
    <t>Đường Minh Bảo- Đại Đồng</t>
  </si>
  <si>
    <t>Phường Nam Cường</t>
  </si>
  <si>
    <t>DX06</t>
  </si>
  <si>
    <t>Đường Nguyễn Tất Thành</t>
  </si>
  <si>
    <t>Phường Yên Bái</t>
  </si>
  <si>
    <t>Xã Yên Bình</t>
  </si>
  <si>
    <t>DX07</t>
  </si>
  <si>
    <t>Đường Âu Cơ</t>
  </si>
  <si>
    <t>IC12 (phường Âu Lâu)</t>
  </si>
  <si>
    <t>DX08</t>
  </si>
  <si>
    <t>Đường Nút giao IC12-Vân Hội</t>
  </si>
  <si>
    <t>Xã Việt Hồng</t>
  </si>
  <si>
    <t>DX09</t>
  </si>
  <si>
    <t>Cầu và Đường hai đầu cầu Bách Lẫm</t>
  </si>
  <si>
    <t>DX10</t>
  </si>
  <si>
    <t>Cầu và Đường hai đầu cầu Tuần Quán</t>
  </si>
  <si>
    <t>DX11</t>
  </si>
  <si>
    <t>Đường nối QL.32C với IC12 và các nhánh rẽ</t>
  </si>
  <si>
    <t>Giao QL.32C (phường Âu Lâu)</t>
  </si>
  <si>
    <t>DX12</t>
  </si>
  <si>
    <t>Đường nối QL.32 với ĐT.174</t>
  </si>
  <si>
    <t>DX13</t>
  </si>
  <si>
    <t>Đường gom đường cao tốc Nội Bài - Lào Cai</t>
  </si>
  <si>
    <t>Mã đoạn</t>
  </si>
  <si>
    <t>Cấp đường</t>
  </si>
  <si>
    <t>Lý trình đầu (km)</t>
  </si>
  <si>
    <t>Lý trình cuối (km)</t>
  </si>
  <si>
    <t>Rộng mặt min (m)</t>
  </si>
  <si>
    <t>Rộng mặt max (m)</t>
  </si>
  <si>
    <t>Rộng nền min (m)</t>
  </si>
  <si>
    <t>Rộng nền max (m)</t>
  </si>
  <si>
    <t>Đơn vị bảo dưỡng</t>
  </si>
  <si>
    <t>QL4-01</t>
  </si>
  <si>
    <t>IV</t>
  </si>
  <si>
    <t>Đường Cấp IV miền núi, Mặt đường Bê tông nhựa, bề rộng mặt đường 10,5m</t>
  </si>
  <si>
    <t>QL4-02</t>
  </si>
  <si>
    <t>V</t>
  </si>
  <si>
    <t>Đường Cấp V miền núi, Mặt đường Bê tông nhựa, bề rộng mặt đường từ 6,5m-7,5m</t>
  </si>
  <si>
    <t>QL4-03</t>
  </si>
  <si>
    <t>Đường Cấp V miền núi, Mặt đường Bê tông xi măng, bề rộng mặt đường 5,0m</t>
  </si>
  <si>
    <t>QL4-04</t>
  </si>
  <si>
    <t>QL4-05</t>
  </si>
  <si>
    <t>Đường Cấp V miền núi, Mặt đường Láng nhựa, bề rộng mặt đường 6,5m</t>
  </si>
  <si>
    <t>QL4D-01</t>
  </si>
  <si>
    <t>Đường cấp IV miền núi, mặt đường Bê tông nhựa, bề rộng từ 6,5m</t>
  </si>
  <si>
    <t>QL4D-02</t>
  </si>
  <si>
    <t>III</t>
  </si>
  <si>
    <t>Đường cấp III miền núi, mặt đường Bê tông nhựa, bề rộng từ 12m</t>
  </si>
  <si>
    <t>QL4D-03</t>
  </si>
  <si>
    <t>QL4D-04</t>
  </si>
  <si>
    <t>QL4D-05</t>
  </si>
  <si>
    <t>Đường Cấp V miền núi, Mặt đường, BTN, Láng nhựa, bề rộng mặt đường từ 5,5m</t>
  </si>
  <si>
    <t>QL4E-01</t>
  </si>
  <si>
    <t>Đoạn bàn giao XDCB</t>
  </si>
  <si>
    <t>QL4E-02</t>
  </si>
  <si>
    <t>Đường miền núi cấp IV mặt đường láng nhựa bề rộng trung bình 6,5m</t>
  </si>
  <si>
    <t>QL4E-03</t>
  </si>
  <si>
    <t>QL4E-04</t>
  </si>
  <si>
    <t>Đường miền núi cấp IV mặt đường BTN bề rộng trung bình 6,5m</t>
  </si>
  <si>
    <t>QL4E-05</t>
  </si>
  <si>
    <t>Đường cấp III miền núi, mặt đường Bê tông nhựa, bề rộng 11m</t>
  </si>
  <si>
    <t>QL4E-06</t>
  </si>
  <si>
    <t>Đường cấp IV miền núi, mặt đường Bê tông nhựa, bề rộng 6,5m</t>
  </si>
  <si>
    <t>QL4E-07</t>
  </si>
  <si>
    <t>Đường cấp III miền núi, mặt đường Bê tông nhựa, bề rộng từ 11m-12m</t>
  </si>
  <si>
    <t>QL4E-08</t>
  </si>
  <si>
    <t>QL4E-09</t>
  </si>
  <si>
    <t>QL4E-10</t>
  </si>
  <si>
    <t>QL4E-11</t>
  </si>
  <si>
    <t>Đường cấp III miền núi, mặt đường Bê tông nhựa, bề rộng 6,5m</t>
  </si>
  <si>
    <t>QL4E-12</t>
  </si>
  <si>
    <t>Đường cấp IV miền núi, mặt đường Bê tông nhựa, bề rộng từ 6,5m-7,5m</t>
  </si>
  <si>
    <t>QL4E-13</t>
  </si>
  <si>
    <t>Đường cấp III miền núi, mặt đường Bê tông nhựa, bề rộng 30m</t>
  </si>
  <si>
    <t>QL4E-14</t>
  </si>
  <si>
    <t>Đường cấp III miền núi, mặt đường Láng nhựa, bề rộng 30m</t>
  </si>
  <si>
    <t>QL4E-15</t>
  </si>
  <si>
    <t>QL4E-16</t>
  </si>
  <si>
    <t>QL4E-17</t>
  </si>
  <si>
    <t>Đường cấp III miền núi, mặt đường Bê tông xi măng, bề rộng 9,5m</t>
  </si>
  <si>
    <t>QL4E-18</t>
  </si>
  <si>
    <t>Đường cấp III miền núi, mặt đường Bê tông nhựa, bề rộng 14m</t>
  </si>
  <si>
    <t>QL4E-19</t>
  </si>
  <si>
    <t>Đường miền núi cấp IV mặt đường BTN bề rộng trung bình 5,5m</t>
  </si>
  <si>
    <t>QL279-01</t>
  </si>
  <si>
    <t>QL279-02</t>
  </si>
  <si>
    <t>QL279-03</t>
  </si>
  <si>
    <t>Đường cấp III miền núi, mặt đường Bê tông nhựa, bề rộng từ 10,5m-11m</t>
  </si>
  <si>
    <t>QL279-04</t>
  </si>
  <si>
    <t>QL279-05</t>
  </si>
  <si>
    <t>Đường cấp IV miền núi, mặt đường BTXM, bề rộng từ 6,5m-7,5m</t>
  </si>
  <si>
    <t>QL279-06</t>
  </si>
  <si>
    <t>QL279-07</t>
  </si>
  <si>
    <t>QL279-08</t>
  </si>
  <si>
    <t>QL279-09</t>
  </si>
  <si>
    <t>QL279-10</t>
  </si>
  <si>
    <t>QL279-11</t>
  </si>
  <si>
    <t>QL279-12</t>
  </si>
  <si>
    <t>QL279-13</t>
  </si>
  <si>
    <t>QL279-14</t>
  </si>
  <si>
    <t>QL279-15</t>
  </si>
  <si>
    <t>QL37-01</t>
  </si>
  <si>
    <t>Đường cấp IV Miền Núi, mặt đường Bê tông nhựa chiều bề rộng mặt đường từ 5,5 m</t>
  </si>
  <si>
    <t>QL37-02</t>
  </si>
  <si>
    <t>Đường cấp III miền núi, mặt đường Bê tông nhựa, bề rộng mặt đường từ 9,0m</t>
  </si>
  <si>
    <t>QL37-03</t>
  </si>
  <si>
    <t>QL37-04</t>
  </si>
  <si>
    <t>QL37-05</t>
  </si>
  <si>
    <t>Đường cấp III miền núi, mặt đường Bê tông nhựa, bề rộng mặt đường từ 10,5m</t>
  </si>
  <si>
    <t>QL37-06</t>
  </si>
  <si>
    <t>Đường cấp III Miền Núi, mặt đường Bê tông nhựa chiều bề rộng mặt đường từ 10,5 m</t>
  </si>
  <si>
    <t>QL37-07</t>
  </si>
  <si>
    <t>QL37-08</t>
  </si>
  <si>
    <t>Đường cấp IV miền núi, mặt đường Bê tông nhựa, bề rộng mặt đường từ 5,5m</t>
  </si>
  <si>
    <t>QL37-09</t>
  </si>
  <si>
    <t>QL37-10</t>
  </si>
  <si>
    <t>QL37-11</t>
  </si>
  <si>
    <t>QL37-12</t>
  </si>
  <si>
    <t>QL70-01</t>
  </si>
  <si>
    <t>Đường cấp V miền núi, mặt đường Bê tông nhựa, bề rộng mặt đường từ 5,5m</t>
  </si>
  <si>
    <t>QL70-02</t>
  </si>
  <si>
    <t>Đường cấp V miền núi, mặt đường Bê tông nhựa, bề rộng 5,5m</t>
  </si>
  <si>
    <t>QL70-03</t>
  </si>
  <si>
    <t>Đường cấp V miền núi, mặt đường Bê tông nhựa, bề rộng từ 6,5m-7,0m</t>
  </si>
  <si>
    <t>QL70-04</t>
  </si>
  <si>
    <t>Đường cấp V miền núi, mặt đường Bê tông nhựa, bề rộng 11m</t>
  </si>
  <si>
    <t>QL70-05</t>
  </si>
  <si>
    <t>Đường cấp V miền núi, mặt đường Bê tông nhựa, bề rộng từ 5,5m-6,5m</t>
  </si>
  <si>
    <t>QL70-06</t>
  </si>
  <si>
    <t>Đường cấp III miền núi, mặt đường Bê tông nhựa, bề rộng 12m</t>
  </si>
  <si>
    <t>QL32C-01</t>
  </si>
  <si>
    <t>Đường cấp III Miền Núi, mặt đường Bê tông nhựa chiều bề rộng mặt đường từ 7,5 m</t>
  </si>
  <si>
    <t>QL32C-02</t>
  </si>
  <si>
    <t>QL2D-01</t>
  </si>
  <si>
    <t>Đường cấp V Miền Núi, mặt đường Bê tông nhựa chiều bề rộng mặt đường từ 5,5 m</t>
  </si>
  <si>
    <t>QL2D-02</t>
  </si>
  <si>
    <t>QL2D-03</t>
  </si>
  <si>
    <t>QL32-01</t>
  </si>
  <si>
    <t>QL32-02</t>
  </si>
  <si>
    <t>QL32-03</t>
  </si>
  <si>
    <t>QL32-04</t>
  </si>
  <si>
    <t>QL32-05</t>
  </si>
  <si>
    <t>Đường cấp III miền núi, mặt đường Bê tông nhựa, bề rộng mặt đường từ 15,0m</t>
  </si>
  <si>
    <t>QL32-06</t>
  </si>
  <si>
    <t>QL32-07</t>
  </si>
  <si>
    <t>Đường cấp III miền núi, mặt đường Bê tông nhựa, bề rộng mặt đường từ 8,0m</t>
  </si>
  <si>
    <t>QL32-08</t>
  </si>
  <si>
    <t>QL32-09</t>
  </si>
  <si>
    <t>QL32-10</t>
  </si>
  <si>
    <t>QL32-11</t>
  </si>
  <si>
    <t>QL32-12</t>
  </si>
  <si>
    <t>QL32-13</t>
  </si>
  <si>
    <t>QL32-14</t>
  </si>
  <si>
    <t>QL32-15</t>
  </si>
  <si>
    <t>QL32-16</t>
  </si>
  <si>
    <t>QL32-17</t>
  </si>
  <si>
    <t>QL32-18</t>
  </si>
  <si>
    <t>QL32-19</t>
  </si>
  <si>
    <t>QL32-20</t>
  </si>
  <si>
    <t>DT151-01</t>
  </si>
  <si>
    <t>Đường cấp III miền núi, mặt đường Bê tông nhựa, bề rộng từ 8m</t>
  </si>
  <si>
    <t>DT151-02</t>
  </si>
  <si>
    <t>NO</t>
  </si>
  <si>
    <t>Đang bàn giao XDCB</t>
  </si>
  <si>
    <t>DT151-03</t>
  </si>
  <si>
    <t>Đường cấp IV miền núi, mặt đường Bê tông nhựa bề rộng từ 6,5m</t>
  </si>
  <si>
    <t>DT151B-01</t>
  </si>
  <si>
    <t>Đường Cấp V miền núi, Mặt đường Láng nhựa, bề rộng mặt đường từ 3,5m</t>
  </si>
  <si>
    <t>DT151B-02</t>
  </si>
  <si>
    <t>DT151C-01</t>
  </si>
  <si>
    <t>Đường cấp III miền núi, mặt đường Bê tông nhựa chiều rộng từ 9m</t>
  </si>
  <si>
    <t>DT151C-02</t>
  </si>
  <si>
    <t>Đường cấp V miền núi, mặt đường Láng nhựa, bề rộng mặt đường từ 3,5m-5m</t>
  </si>
  <si>
    <t>DT151C-03</t>
  </si>
  <si>
    <t>DT152-01</t>
  </si>
  <si>
    <t>Đoạn Sâu Chua - Hầu Thào (Hàm Rồng - Cầu Mây). Đường chưa vào cấp, mặt đường Láng nhựa, BTXM bề rộng từ 4m</t>
  </si>
  <si>
    <t>DT152-02</t>
  </si>
  <si>
    <t>Đường cấp IV miền núi, mặt đường Bê tông nhựa, bê tông xi măng bề rộng mặt đường từ 5,5m</t>
  </si>
  <si>
    <t>DT152-03</t>
  </si>
  <si>
    <t>Đường cấp V miền núi, mặt đường Bê tông nhựa, bê tông xi măng bề rộng mặt đường từ 5,5m</t>
  </si>
  <si>
    <t>DT152-04</t>
  </si>
  <si>
    <t>Đường cấp V miền núi, mặt đường Bê tông nhựa, bê tông xi măng bề rộng mặt đường từ 6,5m</t>
  </si>
  <si>
    <t>DT152-05</t>
  </si>
  <si>
    <t>Đường cấp III  mặt đường Bê tông nhựa bề rộng mặt đường từ 8m</t>
  </si>
  <si>
    <t>DT152B-01</t>
  </si>
  <si>
    <t>DT152B-02</t>
  </si>
  <si>
    <t>DT152B-03</t>
  </si>
  <si>
    <t>Đường Cấp VI miền núi, mặt đường Láng nhựa và BTXM, bề rộng mặt đường từ 3m</t>
  </si>
  <si>
    <t>DT153-01</t>
  </si>
  <si>
    <t>Đang thực hiện XDCB</t>
  </si>
  <si>
    <t>DT153-02</t>
  </si>
  <si>
    <t>DT153-03</t>
  </si>
  <si>
    <t>Đường chưa vào cấp</t>
  </si>
  <si>
    <t>DT154-01</t>
  </si>
  <si>
    <t>DT154-02</t>
  </si>
  <si>
    <t>Chưa vào cấp</t>
  </si>
  <si>
    <t>DT154-03</t>
  </si>
  <si>
    <t>Đường cấp V miền núi, mặt đường Bê tông nhựa, bề rộng mặt đường từ 6,5m</t>
  </si>
  <si>
    <t>DT154-04</t>
  </si>
  <si>
    <t>Đường cấp V miền núi, mặt đường Bê tông nhựa, Láng nhựa, bề rộng mặt đường từ 3,5</t>
  </si>
  <si>
    <t>DT154-05</t>
  </si>
  <si>
    <t>DT154-06</t>
  </si>
  <si>
    <t>VI</t>
  </si>
  <si>
    <t>Đường cấp VI miền núi, mặt đường Bê tông nhựa, Láng nhựa, bề rộng mặt đường từ 3,5m</t>
  </si>
  <si>
    <t>DT155-01</t>
  </si>
  <si>
    <t>DT155-02</t>
  </si>
  <si>
    <t>DT155-03</t>
  </si>
  <si>
    <t>Đường Cấp IV miền núi, Mặt đường Bê tông nhựa, bề rộng mặt đường từ 7,5m</t>
  </si>
  <si>
    <t>DT155-04</t>
  </si>
  <si>
    <t>Đoạn tuyến do BOT quản lý</t>
  </si>
  <si>
    <t>DT156-01</t>
  </si>
  <si>
    <t>DT156-02</t>
  </si>
  <si>
    <t>DT156B-01</t>
  </si>
  <si>
    <t>Đường cấp IV miền núi, mặt đường Bê tông nhựa, bề rộng mặt đường từ 9m</t>
  </si>
  <si>
    <t>DT156B-02</t>
  </si>
  <si>
    <t>DT157-01</t>
  </si>
  <si>
    <t>Đường cấp III miền núi, mặt đường Bê tông nhựa, bề rộng mặt đường từ 7-15m</t>
  </si>
  <si>
    <t>DT157-02</t>
  </si>
  <si>
    <t>Đường cấp V miền núi, mặt đường Láng nhựa, bề rộng mặt đường 3,5m</t>
  </si>
  <si>
    <t>DT157-03</t>
  </si>
  <si>
    <t>Đoạn tuyến mới theo Quyết định số 35/QĐ-UBND ngày 20/3/2025 của UBND tỉnh Lào Cai, chưa nhận bàn giao từ huyện Bảo Thắng</t>
  </si>
  <si>
    <t>DT157-04</t>
  </si>
  <si>
    <t>DT157-05</t>
  </si>
  <si>
    <t>DT158-01</t>
  </si>
  <si>
    <t>DT158-02</t>
  </si>
  <si>
    <t>Đường cấp C - GTNT, Mặt đường Láng nhựa, bề rộng mặt đường từ 3m</t>
  </si>
  <si>
    <t>DT158-03</t>
  </si>
  <si>
    <t>DT158-04</t>
  </si>
  <si>
    <t>Đường Cấp IV miền núi, Mặt đường BTN và BTXM, bề rộng mặt đường từ 6,5m</t>
  </si>
  <si>
    <t>DT158-05</t>
  </si>
  <si>
    <t>DT159-01</t>
  </si>
  <si>
    <t>DT159-02</t>
  </si>
  <si>
    <t>DT159-03</t>
  </si>
  <si>
    <t>DT159-04</t>
  </si>
  <si>
    <t>DT159-05</t>
  </si>
  <si>
    <t>DT159-06</t>
  </si>
  <si>
    <t>Nội thị huyện Bắc Hà: Mặt đường láng nhựa, bê tông, bê tông nhựa, bề rộng mặt đường từ 4,5-8m</t>
  </si>
  <si>
    <t>DT159-07</t>
  </si>
  <si>
    <t>DT159-08</t>
  </si>
  <si>
    <t>Nội thị xã Bản Liền: Mặt đường láng nhựa, bề rộng mặt đường từ 8m</t>
  </si>
  <si>
    <t>DT160-01</t>
  </si>
  <si>
    <t>DT160-02</t>
  </si>
  <si>
    <t>Đường cấp IV miền núi, mặt đường BTN mặt đường rộng trung bình 6,5m</t>
  </si>
  <si>
    <t>DT160-03</t>
  </si>
  <si>
    <t>DT160-04</t>
  </si>
  <si>
    <t>Đường cấp V miền núi, mặt đường láng nhựa, mặt đường rộng trung bình 5,5m</t>
  </si>
  <si>
    <t>DT160-05</t>
  </si>
  <si>
    <t>DT160-06</t>
  </si>
  <si>
    <t>DT160-07</t>
  </si>
  <si>
    <t>Đường cấp V miền núi, mặt đường láng nhựa, mặt đường rộng trung bình 3,5m</t>
  </si>
  <si>
    <t>DT160-08</t>
  </si>
  <si>
    <t>DT160-09</t>
  </si>
  <si>
    <t>DT161-01</t>
  </si>
  <si>
    <t>DT161-02</t>
  </si>
  <si>
    <t>DT161-03</t>
  </si>
  <si>
    <t>Đường chưa vào cấp mặt đường đường 9m</t>
  </si>
  <si>
    <t>DT161-04</t>
  </si>
  <si>
    <t>DT161-05</t>
  </si>
  <si>
    <t>DT162-01</t>
  </si>
  <si>
    <t>Đường cấp III miền núi, mặt đường Bê tông nhựa, bề rộng mặt đường từ 8m</t>
  </si>
  <si>
    <t>DT162-02</t>
  </si>
  <si>
    <t>DT163-01</t>
  </si>
  <si>
    <t>DT163-02</t>
  </si>
  <si>
    <t>Đường cấp IV miền núi, mặt đường Bê tông nhựa,  rộng mặt đường từ 5,5m</t>
  </si>
  <si>
    <t>DT163-03</t>
  </si>
  <si>
    <t>Đường cấp V miền núi, mặt đường bê tông xi măng, bề rộng mặt đường từ 3,5m</t>
  </si>
  <si>
    <t>DT164-01</t>
  </si>
  <si>
    <t>Đường Cấp V miền núi, Mặt đường Láng nhựa và Bê tông nhựa, bề rộng mặt đường từ 5,5m</t>
  </si>
  <si>
    <t>DT165-01</t>
  </si>
  <si>
    <t>Đường cấp IV miền núi, mặt đường Bê tông nhựa chiều bề rộng mặt đường từ 7,5 m</t>
  </si>
  <si>
    <t>DT165-02</t>
  </si>
  <si>
    <t>Đường cấp IV miền núi, mặt đường Láng nhựa, bề rộng mặt đường từ 5,5m</t>
  </si>
  <si>
    <t>DT166-01</t>
  </si>
  <si>
    <t>DT166-02</t>
  </si>
  <si>
    <t>DT166-03</t>
  </si>
  <si>
    <t>Đường cấp IV miền núi, mặt đường Bê tông nhựa bề rộng 7,5m</t>
  </si>
  <si>
    <t>DT170-01</t>
  </si>
  <si>
    <t>Đường cấp III miền núi, mặt đường Bê tông nhựa chiều bề rộng mặt đường từ 7,5 m</t>
  </si>
  <si>
    <t>DT170-02</t>
  </si>
  <si>
    <t>Đường Cấp IV miền núi, mặt đường Láng nhựa  bề rộng mặt đường từ 5,5m</t>
  </si>
  <si>
    <t>DT170-03</t>
  </si>
  <si>
    <t>Đường Cấp V miền núi, mặt đường Láng nhựa và BTXM, bề rộng mặt đường từ 3,5m</t>
  </si>
  <si>
    <t>DT170-04</t>
  </si>
  <si>
    <t>DT170-05</t>
  </si>
  <si>
    <t>Đường Cấp V miền núi, mặt đường Láng nhựa  bề rộng mặt đường từ 5,5m</t>
  </si>
  <si>
    <t>DT170-06</t>
  </si>
  <si>
    <t>Đường Cấp V miền núi, mặt đường Láng nhựa bề rộng mặt đường từ 3,5m</t>
  </si>
  <si>
    <t>DT171-01</t>
  </si>
  <si>
    <t>Đường cấp III miền núi, mặt đường Bê tông nhựa chiều bề rộng mặt đường từ 8,5 m</t>
  </si>
  <si>
    <t>DT171-02</t>
  </si>
  <si>
    <t>DT171-03</t>
  </si>
  <si>
    <t>Đường cấp IV miền núi, mặt đường Bê tông xi măng,  rộng mặt đường từ 5,5m</t>
  </si>
  <si>
    <t>DT171-04</t>
  </si>
  <si>
    <t>DT171-05</t>
  </si>
  <si>
    <t>Đường cấp V miền núi, mặt đường Láng nhựa, bề rộng mặt đường từ 5,5m</t>
  </si>
  <si>
    <t>DT172-01</t>
  </si>
  <si>
    <t>Đường cấp IV miền núi, mặt đường Bê tông nhựa chiều bề rộng mặt đường từ 6,5 m</t>
  </si>
  <si>
    <t>DT173-01</t>
  </si>
  <si>
    <t>DT173-02</t>
  </si>
  <si>
    <t>Đường cấp IV miền núi, mặt đường BTXM, bề rộng mặt đường từ 5,5m</t>
  </si>
  <si>
    <t>DT173-03</t>
  </si>
  <si>
    <t>DT174-01</t>
  </si>
  <si>
    <t>Đường cấp III miền núi, mặt đường Bê tông nhựa, bề rộng mặt đường từ 11,0m</t>
  </si>
  <si>
    <t>DT174-02</t>
  </si>
  <si>
    <t>Đường cấp IV miền núi, mặt đường Bê tông nhựa, bề rộng mặt đường từ 7,0m</t>
  </si>
  <si>
    <t>DT174-03</t>
  </si>
  <si>
    <t>Đường cấp V miền núi, mặt đường láng nhựa, bề rộng mặt đường từ 3,5m</t>
  </si>
  <si>
    <t>DT174-04</t>
  </si>
  <si>
    <t>DT175-01</t>
  </si>
  <si>
    <t>Đường cấp IV miền núi, mặt đường Bê tông nhựa bề rộng 5,5m</t>
  </si>
  <si>
    <t>DT175-02</t>
  </si>
  <si>
    <t>DT175B-01</t>
  </si>
  <si>
    <t>DX01-01</t>
  </si>
  <si>
    <t>Đường cấp IV miền núi, mặt đường Bê tông nhựa, bề rộng mặt đường từ 7,5m</t>
  </si>
  <si>
    <t>DX01-02</t>
  </si>
  <si>
    <t>DX02-01</t>
  </si>
  <si>
    <t>DX02-02</t>
  </si>
  <si>
    <t>DX02-03</t>
  </si>
  <si>
    <t>DX03-01</t>
  </si>
  <si>
    <t>Đường cấp IV miền núi, mặt đường Bê tông nhựa bề rộng  5,5m</t>
  </si>
  <si>
    <t>DX04-01</t>
  </si>
  <si>
    <t>Đường cấp III miền núi, mặt đường Bê tông nhựa chiều rộng 10,5m</t>
  </si>
  <si>
    <t>DX05-01</t>
  </si>
  <si>
    <t>Đường cấp V miền núi, mặt đường Bê tông nhựa chiều bề rộng mặt đường từ 5,5 m</t>
  </si>
  <si>
    <t>DX05-02</t>
  </si>
  <si>
    <t>Đường cấp V miền núi, mặt đường láng nhựa chiều bề rộng mặt đường từ 5,5 m</t>
  </si>
  <si>
    <t>DX06-01</t>
  </si>
  <si>
    <t>Đường cấp III đô thị, mặt đường Bê tông nhựa chiều bề rộng mặt đường từ 21 m</t>
  </si>
  <si>
    <t>DX07-01</t>
  </si>
  <si>
    <t>DX08-01</t>
  </si>
  <si>
    <t>DX08-02</t>
  </si>
  <si>
    <t>DX09-01</t>
  </si>
  <si>
    <t>Đường cấp III Miền Núi, mặt đường Bê tông nhựa chiều bề rộng mặt đường từ 15 m</t>
  </si>
  <si>
    <t>DX10-01</t>
  </si>
  <si>
    <t>DX11-01</t>
  </si>
  <si>
    <t>Đường cấp III Miền Núi, mặt đường Bê tông nhựa chiều bề rộng mặt đường từ 21 m</t>
  </si>
  <si>
    <t>DX11-02</t>
  </si>
  <si>
    <t>DX11-03</t>
  </si>
  <si>
    <t>DX11-04</t>
  </si>
  <si>
    <t>DX12-01</t>
  </si>
  <si>
    <t>Đường cấp IV miền núi, mặt đường Bê tông XM, bề rộng mặt đường từ 5m</t>
  </si>
  <si>
    <t>Tuyến đi chung</t>
  </si>
  <si>
    <t>Mã đoạn (tuyến chủ)</t>
  </si>
  <si>
    <t>Tình trạng</t>
  </si>
  <si>
    <t>Tốt</t>
  </si>
  <si>
    <t>Đang bảo trì</t>
  </si>
  <si>
    <t>Trung bình</t>
  </si>
  <si>
    <t>Tạm đóng</t>
  </si>
  <si>
    <t>Thi công</t>
  </si>
  <si>
    <t>DT166-04</t>
  </si>
  <si>
    <t>DX13-01</t>
  </si>
  <si>
    <t>5.5</t>
  </si>
  <si>
    <t>7.0</t>
  </si>
  <si>
    <t>Đường cấp V miền núi, mặt đường láng nhựa, bề rộng mặt đường từ 5,5-7,0m</t>
  </si>
  <si>
    <t>Đang quy hoạch chưa xây dựng</t>
  </si>
  <si>
    <t>Chưa xây dựng</t>
  </si>
  <si>
    <t>Mã đơn vị</t>
  </si>
  <si>
    <t>Tên đơn vị</t>
  </si>
  <si>
    <t>Loại đơn vị</t>
  </si>
  <si>
    <t>SXD</t>
  </si>
  <si>
    <t>Sở Xây dựng Lào Cai</t>
  </si>
  <si>
    <t>So</t>
  </si>
  <si>
    <t>BAN_BT</t>
  </si>
  <si>
    <t>Bản QLDA Bảo trì đường bộ</t>
  </si>
  <si>
    <t>Ban</t>
  </si>
  <si>
    <t>Donvi</t>
  </si>
  <si>
    <t>CT_DB</t>
  </si>
  <si>
    <t>Công ty TNHH Xây dựng tổng hợp Minh Đức</t>
  </si>
  <si>
    <t>Công ty Cổ phần đường bộ Lào Cai</t>
  </si>
  <si>
    <t>ma_cap</t>
  </si>
  <si>
    <t>ten_cap</t>
  </si>
  <si>
    <t>mo_ta</t>
  </si>
  <si>
    <t>thu_tu_hien_thi</t>
  </si>
  <si>
    <t>CT</t>
  </si>
  <si>
    <t>Đường cao tốc</t>
  </si>
  <si>
    <t>Bộ Xây dựng quản lý</t>
  </si>
  <si>
    <t>Đường quốc lộ</t>
  </si>
  <si>
    <t>UBND tỉnh quản lý</t>
  </si>
  <si>
    <t>Đường tỉnh</t>
  </si>
  <si>
    <t>NT</t>
  </si>
  <si>
    <t>Đường đô thị</t>
  </si>
  <si>
    <t>UBND phường quản lý</t>
  </si>
  <si>
    <t>Đường xã</t>
  </si>
  <si>
    <t>Xã, phường quản lý</t>
  </si>
  <si>
    <t>TX</t>
  </si>
  <si>
    <t>Đường thôn, xóm</t>
  </si>
  <si>
    <t>CD</t>
  </si>
  <si>
    <t>Đường chuyên dùng</t>
  </si>
  <si>
    <t>Đơn vị trực tiếp khai thác quản lý</t>
  </si>
  <si>
    <t>DK</t>
  </si>
  <si>
    <t>Đường khác</t>
  </si>
  <si>
    <t>I</t>
  </si>
  <si>
    <t>Cấp I</t>
  </si>
  <si>
    <t>Đường cấp I</t>
  </si>
  <si>
    <t>II</t>
  </si>
  <si>
    <t>Cấp II</t>
  </si>
  <si>
    <t>Đường cấp II</t>
  </si>
  <si>
    <t>Cấp III</t>
  </si>
  <si>
    <t>Đường cấp III - Miền núi</t>
  </si>
  <si>
    <t>Cấp IV</t>
  </si>
  <si>
    <t>Đường cấp IV - Miền núi</t>
  </si>
  <si>
    <t>Cấp V</t>
  </si>
  <si>
    <t>Đường cấp V - Miền núi</t>
  </si>
  <si>
    <t>Cấp VI</t>
  </si>
  <si>
    <t>Đường cấp VI - Miền núi</t>
  </si>
  <si>
    <t>UBND tỉnh Lào Cai</t>
  </si>
  <si>
    <t>ma</t>
  </si>
  <si>
    <t>ten</t>
  </si>
  <si>
    <t>TOT</t>
  </si>
  <si>
    <t>Mặt đường bằng phẳng, không hư hỏng đáng kể</t>
  </si>
  <si>
    <t>TB</t>
  </si>
  <si>
    <t>Có hư hỏng nhỏ, vẫn lưu thông bình thường</t>
  </si>
  <si>
    <t>KEM</t>
  </si>
  <si>
    <t>Kém</t>
  </si>
  <si>
    <t>Hư hỏng nhiều, cần sửa chữa trong thời gian tới</t>
  </si>
  <si>
    <t>HH_NANG</t>
  </si>
  <si>
    <t>Hư hỏng nặng</t>
  </si>
  <si>
    <t>Mất an toàn giao thông, cần xử lý khẩn cấp</t>
  </si>
  <si>
    <t>THI_CONG</t>
  </si>
  <si>
    <t>Đang thi công</t>
  </si>
  <si>
    <t>Đang trong quá trình xây dựng mới</t>
  </si>
  <si>
    <t>BAO_TRI</t>
  </si>
  <si>
    <t>Đang sửa chữa, bảo dưỡng định kỳ</t>
  </si>
  <si>
    <t>TAM_DONG</t>
  </si>
  <si>
    <t>Đóng cửa tạm thời do thiên tai hoặc sự cố</t>
  </si>
  <si>
    <t>NGUNG</t>
  </si>
  <si>
    <t>Ngưng sử dụng</t>
  </si>
  <si>
    <t>Không còn khai thác, chờ thanh lý hoặc cải tạo</t>
  </si>
  <si>
    <t>CHUA_XD</t>
  </si>
  <si>
    <t>Đường trong quy hoạch, chưa xây dựng</t>
  </si>
  <si>
    <t>QL37.01</t>
  </si>
  <si>
    <t>QL32 đi chung với Quốc lộ 37, chiều dài 10km</t>
  </si>
  <si>
    <t>DT155 đi chung với QL4D, chiều dài 3,6km</t>
  </si>
  <si>
    <t>DT159 đi chung với QL4, chiều dài 1,24km</t>
  </si>
  <si>
    <t>DT159 đi chung với QL4E, chiều dài 11,6km</t>
  </si>
  <si>
    <t>DT159 đi chung với QL4, chiều dài 6,73km</t>
  </si>
  <si>
    <t>DT162 đi chung với DT151, chiều dài 0,4km</t>
  </si>
  <si>
    <t>DX02 đi chung với DT173, chiều dài 1,276km</t>
  </si>
  <si>
    <t>DT160 đi chung với QL279, chiều dài 7km</t>
  </si>
  <si>
    <t>Lý trình đầu đi chung</t>
  </si>
  <si>
    <t>Lý trình cuối đi chung</t>
  </si>
  <si>
    <t>Lý trình cuối tuyến chính</t>
  </si>
  <si>
    <t>Lý trình đầu tuyến chính</t>
  </si>
  <si>
    <t>Tuyến chính</t>
  </si>
  <si>
    <t>QL4D đi chung với QL70, chiều dài 8,107km</t>
  </si>
  <si>
    <t>QL4Eđi chung với QL70, chiều dài 1,375km</t>
  </si>
  <si>
    <t>QL4E di chung qua doan QL70, chiều dài 3,168km</t>
  </si>
  <si>
    <t>DT153 đi chung qua doan QL4E, chiều dài 2,8km</t>
  </si>
  <si>
    <t>Chiều dài đi chung</t>
  </si>
  <si>
    <t>Thông tin mô tả</t>
  </si>
  <si>
    <t>- Hướng tuyến: Bắt đầu từ ngã 3 Đoan Hùng (giao với QL2) - tỉnh Phú Thọ và kết thúc tại ngã ba Bản Phiệt (Giao QL4D), tỉnh Lào Cai; toàn tuyến có chiều dài 198 km, đi qua địa phận 2 tỉnh Phú Thọ, Lào Cai; 
Đoạn trên địa phận tỉnh Lào Cai, điểm đầu Km25A tại xã Yên Bình, đi theo hướng Tây Bắc và điểm cuối Km198+050 kết thúc tại ngã ba Bản Phiệt (Giao QL4D), dài 174,05 km.
- Địa hình: Tuyến cơ bản nằm trong khu vực địa hình đồng bằng và miền núi.
- Tình trạng kỹ thuật:
Đoạn thuộc địa phận Lào Cai mặc dù chạy trên vùng có địa hình thoải, nhưng bình đồ tuyến chạy không êm thuận, có nhiều đoạn cua; đoạn tuyến chủ yếu đạt cấp V miền núi, kết cấu mặt đường bê tông nhựa; chất lượng đường tương đối tốt.</t>
  </si>
  <si>
    <t>- Hướng tuyến: Bắt đầu từ Pa So (giao QL.12) - tỉnh Lai Châu và kết thúc tại cửa khẩu Sín Tẻn, xã Mường Khương - tỉnh Lào Cai; toàn tuyến có chiều dài 194 km, đi qua 2 tỉnh Lào Cai và Lai Châu. 
- Đoạn trên địa phận tỉnh Lào Cai, tuyến có điểm đầu tại Km89+000 bắt đầu từ xã Tả Van kết thúc tại cửa khẩu Sín Tẻn điểm cuối tại Km200+100, xã  Mường Khương, dài 103,1 km. 
- Đại hình: Tuyến đi qua vùng núi cao trở dọc theo một phần dãy Hoàng Liên Sơn, một bên là vực, một bên là núi; dọc tuyến có nhiều đèo, dốc dài và quanh co, tầm nhìn hạn chế. 
- Tình trạng kỹ thuật: Tuyến chủ yếu đạt cấp kỹ thuật từ cấp V miền núi đến cấp IV miền núi, mặt đường bê tông nhựa và láng nhựa; chất lượng đường ở mức tốt và trung bình.
- Cầu cống yếu: Trên tuyến còn 5 cầu ở mức trung bình và yếu cần nâng cấp, cải tạo; đó là các cầu: cầu 32 (Km109+550), cầu BTCT (Km111+250), cầu BTCT (Km124+376), cầu Bản Phiệt (Km149+680), Bản Lầu (161+250).</t>
  </si>
  <si>
    <t>- Hướng tuyến: Đoạn quốc lộ 4 trong địa phận tỉnh Lào Cai, điểm đầu từ Km190+000 từ xã Mường Khương (điểm giao với QL4D) tuyến đi về phía Đông, đi qua các xã Mường Khương, Pha Long, Sín Chéng, Si Ma Cai, Lũng Phìn và kết thúc tại Km286+400 ranh giới của xã Tả Củ Tỷ với xã Xín Mần (Tuyên Quang), dài 96,4 km.
- Địa hình: Tuyến cơ bản nằm trong khu vực địa hình miền núi.
- Tình trạng kỹ thuật: Đường cấp III-IV, mặt đường BTN, khoảng 14,4km là láng nhựa.</t>
  </si>
  <si>
    <t>- Hướng tuyến: Đoạn trên địa phận tỉnh Lào Cai, có điểm đầu Km36+000 từ xã Nghĩa Đô, đi theo hướng Tây và điểm cuối Km157+500 tại đèo Khau Co xã Nậm Xé, tuyến qua địa bàn tỉnh dài 121,5 km.
- Địa hình: Tuyến đi qua khu vực miền núi, nhiều đoạn có địa hình khó khăn, nhiều đèo dốc dài, quanh co và hạn chế tầm nhìn (đèo Khau Co).
- Tình trạng kỹ thuật: Chủ yếu đạt từ cấp V - IV miền núi, đường BTN và láng nhựa, chất lượng trung bình.</t>
  </si>
  <si>
    <t>Hướng tuyến: Tuyến nằm hoàn toàn trong địa phận tỉnh Lào Cai, điểm đầu Km 0+000  giao với QL4 tại Km271+050 xã Lùng Phình, tuyến đi sang phía Tây qua xã Bảo Thắng, tuyến đổi hướng đi ngược lên hướng Đông Bắc (gần như song song với QL70) và kết thúc tại Cột cờ Lũng Pô thuộc xã A Mú Sung; toàn tuyến dài 134,05 km.
- Tuyến chạy trên vùng địa hình tương đối thoải. Tuyến đường chủ yếu đạt cấp IV miền núi, riêng có đoạn cuối tuyến chạy trong địa phận thành phố (khu vực phường Kim Tân, Cam Đường), dài 9,0 km là đường đô thị.
- Cầu cống yếu: Trên tuyến còn 5 cầu yếu cần nâng cấp, cải tạo; đó là các cầu Bắc Ngầm, Xuân Quang 2, Phố Lu, Sơn Hải và Suối Trát.</t>
  </si>
  <si>
    <t>- Hướng tuyến: Đoạn qua Lào Cai có điểm đầu Km147+000 tại xã Nghĩa Tâm, điểm cuối tại Km332+000 xã Khao Mang, đoạn tuyến đi qua địa bàn tỉnh dài khoảng 175 km
- Địa hình: Tuyến xuyên qua Lào Cai chủ yếu là khu vực miền núi, có nhiều đoạn hiểm trở, sườn dốc cao, cảnh quan nhiều đèo uốn khúc - nổi bật nhất là đèo Khau Phạ, thuộc địa phần xã Tú Lệ.
- Tình trạng kỹ thuật: Đoạn tuyến chạy qua tỉnh Lào Cai đạt tiêu chuẩn đường cấp III- IV miền núi, kết cấu mặt đường BTN.</t>
  </si>
  <si>
    <t>- Hướng tuyến: Đoạn tuyến qua địa bản tỉnh có điểm đầu tại Km238+000 tại xã Thác Bà điểm cuối tại Km356+100 xã Thượng Bằng La, dài khoảng 96,3km.
- Địa hình: Tuyến QL 37 đi qua địa bàn miền núi.
- Tình trạng kỹ thuật: Đoạn tuyến chạy qua tỉnh Lào Cai chủ yếu đạt tiêu chuẩn đường cấp IV-III miền núi, mặt đường BTN.</t>
  </si>
  <si>
    <t>- Hướng tuyến: Đoạn tuyến đi qua tỉnh Lào Cai nằm toàn bộ trong phường Âu Lâu, điểm đầu tại Km79+000, điểm cuối Km96+500, dài khoảng 17,5km.
- Địa hình: Tuyến QL 32C đi qua địa bàn bằng phẳng.
- Tình trạng kỹ thuật: Đoạn tuyến chạy qua tỉnh Lào Cai đạt tiêu chuẩn đường cấp III.</t>
  </si>
  <si>
    <t>- Hướng tuyến: Đoạn tuyến qua địa bàn tình bắt đầu tại Km90+765 điểm giao QL37 xã Thác Bà (đi trung Ql.70 tại Km101+765 đến Km102+165) kết thúc tại Km129+560 Phường Văn Phú, dài khoảng 27,6km.
- Tuyến QL 2D đi qua địa bàn miền núi.
- Tình trạng kỹ thuật: Đoạn tuyến chạy qua tỉnh Lào Cai đạt tiêu chuẩn đường cấp IV miền núi, mặt đường BTN.</t>
  </si>
  <si>
    <t>BTN</t>
  </si>
  <si>
    <t>BTXM</t>
  </si>
  <si>
    <t>Mặt đường bê tông xi măng</t>
  </si>
  <si>
    <t>CP</t>
  </si>
  <si>
    <t>Mặt đường bê tông nhựa Asphan</t>
  </si>
  <si>
    <t>HH</t>
  </si>
  <si>
    <t>LN</t>
  </si>
  <si>
    <t>Mặt đường láng nhựa</t>
  </si>
  <si>
    <t xml:space="preserve">Lớp trên là BTN (mỏng hơn mặt đường mềm thuần túy) và lớp móng gia cố xi măng (đá dăm xi măng, đất gia cố). 
</t>
  </si>
  <si>
    <t>Sử dụng đá dăm hoặc cấp phối gia cố, thường dùng cho đường cấp thấp.</t>
  </si>
  <si>
    <t>ma_ket_cau</t>
  </si>
  <si>
    <t>ten_ket_cau</t>
  </si>
  <si>
    <t>Bê tông nhựa</t>
  </si>
  <si>
    <t>Bê tông xi măng</t>
  </si>
  <si>
    <t>Láng nhựa</t>
  </si>
  <si>
    <t>Hỗn hợp</t>
  </si>
  <si>
    <t>Cấp phối</t>
  </si>
  <si>
    <t>Mặt đường đất</t>
  </si>
  <si>
    <t>Mặt đường đấtm chưa được gia cố</t>
  </si>
  <si>
    <t>DAT</t>
  </si>
  <si>
    <t>Ma_cap</t>
  </si>
  <si>
    <t>CT_MD</t>
  </si>
  <si>
    <t>Mã kết cấu mặt</t>
  </si>
  <si>
    <t>Công 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</si>
</sst>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rgb="FFFFFFFF"/>
      <name val="Arial"/>
      <family val="2"/>
    </font>
    <font>
      <sz val="10"/>
      <name val="Arial"/>
      <family val="2"/>
    </font>
    <font>
      <sz val="10"/>
      <name val="Arial"/>
      <family val="2"/>
    </font>
    <font>
      <b/>
      <sz val="10"/>
      <name val="Arial"/>
      <family val="2"/>
    </font>
    <font>
      <sz val="12"/>
      <color theme="1"/>
      <name val="Calibri"/>
      <family val="2"/>
      <scheme val="minor"/>
    </font>
    <font>
      <sz val="8"/>
      <name val="Calibri"/>
      <family val="2"/>
      <scheme val="minor"/>
    </font>
    <font>
      <sz val="14"/>
      <name val="Arial"/>
      <family val="2"/>
    </font>
    <font>
      <b/>
      <sz val="11"/>
      <color theme="1"/>
      <name val="Arial"/>
      <family val="2"/>
    </font>
    <font>
      <b/>
      <sz val="14"/>
      <name val="Arial"/>
      <family val="2"/>
    </font>
    <font>
      <b/>
      <sz val="13"/>
      <color rgb="FFFFFFFF"/>
      <name val="Arial"/>
      <family val="2"/>
    </font>
    <font>
      <sz val="13"/>
      <name val="Arial"/>
      <family val="2"/>
    </font>
    <font>
      <b/>
      <sz val="13"/>
      <name val="Arial"/>
      <family val="2"/>
    </font>
    <font>
      <b/>
      <sz val="13"/>
      <color theme="1"/>
      <name val="Arial"/>
      <family val="2"/>
    </font>
    <font>
      <sz val="13"/>
      <color theme="1"/>
      <name val="Arial"/>
      <family val="2"/>
    </font>
    <font>
      <b/>
      <sz val="14"/>
      <color rgb="FFFFC000"/>
      <name val="Arial"/>
      <family val="2"/>
    </font>
    <font>
      <sz val="11"/>
      <color rgb="FFFF0000"/>
      <name val="Calibri"/>
      <family val="2"/>
      <scheme val="minor"/>
    </font>
    <font>
      <sz val="10"/>
      <color rgb="FFFF0000"/>
      <name val="Arial"/>
      <family val="2"/>
    </font>
  </fonts>
  <fills count="10">
    <fill>
      <patternFill patternType="none"/>
    </fill>
    <fill>
      <patternFill patternType="gray125"/>
    </fill>
    <fill>
      <patternFill patternType="solid">
        <fgColor rgb="FF7B3F00"/>
      </patternFill>
    </fill>
    <fill>
      <patternFill patternType="solid">
        <fgColor rgb="FFFFFF00"/>
        <bgColor indexed="64"/>
      </patternFill>
    </fill>
    <fill>
      <patternFill patternType="solid">
        <fgColor rgb="FF00B0F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8"/>
        <bgColor indexed="64"/>
      </patternFill>
    </fill>
    <fill>
      <patternFill patternType="solid">
        <fgColor theme="9" tint="0.39997558519241921"/>
        <bgColor indexed="64"/>
      </patternFill>
    </fill>
    <fill>
      <patternFill patternType="solid">
        <fgColor theme="9"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5" fillId="0" borderId="0"/>
  </cellStyleXfs>
  <cellXfs count="111">
    <xf numFmtId="0" fontId="0" fillId="0" borderId="0" xfId="0"/>
    <xf numFmtId="0" fontId="3" fillId="0" borderId="1" xfId="0" applyFont="1" applyBorder="1" applyAlignment="1">
      <alignment horizontal="center" vertical="center" wrapText="1"/>
    </xf>
    <xf numFmtId="0" fontId="3" fillId="0" borderId="0" xfId="0" applyFont="1"/>
    <xf numFmtId="0" fontId="3" fillId="0" borderId="0" xfId="0" applyFont="1" applyAlignment="1">
      <alignment horizontal="center"/>
    </xf>
    <xf numFmtId="0" fontId="3" fillId="0" borderId="1" xfId="0" applyFont="1" applyBorder="1" applyAlignment="1">
      <alignment vertical="center"/>
    </xf>
    <xf numFmtId="0" fontId="3" fillId="0" borderId="1" xfId="0" applyFont="1" applyBorder="1" applyAlignment="1">
      <alignment horizontal="center" vertical="center"/>
    </xf>
    <xf numFmtId="2"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xf>
    <xf numFmtId="3" fontId="3" fillId="0" borderId="1" xfId="0" applyNumberFormat="1" applyFont="1" applyBorder="1" applyAlignment="1">
      <alignment horizontal="center" vertical="center"/>
    </xf>
    <xf numFmtId="0" fontId="0" fillId="0" borderId="0" xfId="0" applyAlignment="1">
      <alignment horizontal="center"/>
    </xf>
    <xf numFmtId="0" fontId="7" fillId="0" borderId="0" xfId="0" applyFont="1"/>
    <xf numFmtId="0" fontId="7" fillId="0" borderId="0" xfId="0" applyFont="1" applyAlignment="1">
      <alignment horizontal="center"/>
    </xf>
    <xf numFmtId="0" fontId="7"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vertical="center"/>
    </xf>
    <xf numFmtId="0" fontId="11" fillId="0" borderId="2" xfId="0" applyFont="1" applyBorder="1" applyAlignment="1">
      <alignment horizontal="center" vertical="center" wrapText="1"/>
    </xf>
    <xf numFmtId="0" fontId="13" fillId="0" borderId="0" xfId="0" applyFont="1" applyAlignment="1">
      <alignment horizontal="center" vertical="center"/>
    </xf>
    <xf numFmtId="0" fontId="14" fillId="0" borderId="1" xfId="0" applyFont="1" applyBorder="1"/>
    <xf numFmtId="0" fontId="14" fillId="0" borderId="0" xfId="0" applyFont="1"/>
    <xf numFmtId="0" fontId="14" fillId="0" borderId="0" xfId="0" applyFont="1" applyAlignment="1">
      <alignment horizontal="center"/>
    </xf>
    <xf numFmtId="0" fontId="11" fillId="0" borderId="3" xfId="0" applyFont="1" applyBorder="1" applyAlignment="1">
      <alignment horizontal="center" vertical="center" wrapText="1"/>
    </xf>
    <xf numFmtId="0" fontId="11" fillId="0" borderId="4" xfId="0" applyFont="1" applyBorder="1" applyAlignment="1">
      <alignment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vertical="center" wrapText="1"/>
    </xf>
    <xf numFmtId="0" fontId="14" fillId="0" borderId="11" xfId="0" applyFont="1" applyBorder="1" applyAlignment="1">
      <alignment horizontal="center"/>
    </xf>
    <xf numFmtId="0" fontId="14" fillId="0" borderId="12" xfId="0" applyFont="1" applyBorder="1" applyAlignment="1">
      <alignment horizont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9" fillId="4" borderId="13"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vertical="center" wrapText="1"/>
    </xf>
    <xf numFmtId="0" fontId="7" fillId="0" borderId="18" xfId="0" applyFont="1" applyBorder="1" applyAlignment="1">
      <alignment horizontal="center" vertical="center" wrapText="1"/>
    </xf>
    <xf numFmtId="0" fontId="2" fillId="0" borderId="11" xfId="0" applyFont="1" applyBorder="1" applyAlignment="1">
      <alignment horizontal="center" vertical="center"/>
    </xf>
    <xf numFmtId="0" fontId="2" fillId="0" borderId="12" xfId="0" applyFont="1" applyBorder="1" applyAlignment="1">
      <alignment vertical="center"/>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7" xfId="0" applyFont="1" applyBorder="1" applyAlignment="1">
      <alignment vertical="center"/>
    </xf>
    <xf numFmtId="0" fontId="2" fillId="0" borderId="18" xfId="0" applyFont="1" applyBorder="1" applyAlignment="1">
      <alignment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49" fontId="3" fillId="6" borderId="1" xfId="0" applyNumberFormat="1" applyFont="1" applyFill="1" applyBorder="1" applyAlignment="1">
      <alignment horizontal="left" vertical="center" wrapText="1"/>
    </xf>
    <xf numFmtId="49" fontId="0" fillId="0" borderId="0" xfId="0" applyNumberFormat="1" applyAlignment="1">
      <alignment horizontal="left"/>
    </xf>
    <xf numFmtId="49" fontId="3" fillId="5" borderId="1" xfId="0" applyNumberFormat="1" applyFont="1" applyFill="1" applyBorder="1" applyAlignment="1">
      <alignment horizontal="left" vertical="center" wrapText="1"/>
    </xf>
    <xf numFmtId="0" fontId="8" fillId="4" borderId="1" xfId="0"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0" fontId="12" fillId="4" borderId="13" xfId="0" applyFont="1" applyFill="1" applyBorder="1" applyAlignment="1">
      <alignment horizontal="center" vertical="center"/>
    </xf>
    <xf numFmtId="0" fontId="12" fillId="4" borderId="14" xfId="0" applyFont="1" applyFill="1" applyBorder="1" applyAlignment="1">
      <alignment horizontal="center" vertical="center"/>
    </xf>
    <xf numFmtId="0" fontId="12" fillId="4" borderId="15" xfId="0" applyFont="1" applyFill="1" applyBorder="1" applyAlignment="1">
      <alignment horizontal="center" vertical="center"/>
    </xf>
    <xf numFmtId="0" fontId="9" fillId="0" borderId="13" xfId="0" applyFont="1" applyBorder="1" applyAlignment="1">
      <alignment horizontal="center" vertical="center" wrapText="1"/>
    </xf>
    <xf numFmtId="0" fontId="7" fillId="0" borderId="18" xfId="0" applyFont="1" applyBorder="1" applyAlignment="1">
      <alignment vertical="center" wrapText="1"/>
    </xf>
    <xf numFmtId="0" fontId="15" fillId="0" borderId="13" xfId="0" applyFont="1" applyBorder="1" applyAlignment="1">
      <alignment horizontal="center" vertical="center" wrapText="1"/>
    </xf>
    <xf numFmtId="0" fontId="15" fillId="0" borderId="19"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7" fillId="0" borderId="11" xfId="0" applyFont="1" applyBorder="1" applyAlignment="1">
      <alignment vertical="center" wrapText="1"/>
    </xf>
    <xf numFmtId="0" fontId="3" fillId="0" borderId="1" xfId="0" applyFont="1" applyFill="1" applyBorder="1" applyAlignment="1">
      <alignment horizontal="center" vertical="center"/>
    </xf>
    <xf numFmtId="2" fontId="3" fillId="0" borderId="1" xfId="0" applyNumberFormat="1" applyFont="1" applyFill="1" applyBorder="1" applyAlignment="1">
      <alignment horizontal="center" vertical="center" wrapText="1"/>
    </xf>
    <xf numFmtId="0" fontId="3" fillId="0" borderId="0" xfId="0" applyFont="1" applyFill="1"/>
    <xf numFmtId="2" fontId="3" fillId="0" borderId="1" xfId="0" applyNumberFormat="1" applyFont="1" applyFill="1" applyBorder="1" applyAlignment="1">
      <alignment horizontal="center" vertical="center"/>
    </xf>
    <xf numFmtId="0" fontId="3" fillId="0" borderId="11" xfId="0" applyFont="1" applyBorder="1" applyAlignment="1">
      <alignment horizontal="center" vertical="center"/>
    </xf>
    <xf numFmtId="0" fontId="3" fillId="0" borderId="11" xfId="0" applyFont="1" applyFill="1" applyBorder="1" applyAlignment="1">
      <alignment horizontal="center" vertical="center"/>
    </xf>
    <xf numFmtId="0" fontId="3" fillId="0" borderId="12" xfId="0" applyFont="1" applyBorder="1" applyAlignment="1">
      <alignment vertical="center"/>
    </xf>
    <xf numFmtId="0" fontId="3" fillId="0" borderId="12" xfId="0" applyFont="1" applyFill="1" applyBorder="1" applyAlignment="1">
      <alignment vertical="center"/>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7" xfId="0" applyFont="1" applyBorder="1" applyAlignment="1">
      <alignment horizontal="center"/>
    </xf>
    <xf numFmtId="2" fontId="3" fillId="0" borderId="17" xfId="0" applyNumberFormat="1"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vertical="center"/>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1" fillId="0" borderId="11" xfId="0" applyFont="1" applyBorder="1" applyAlignment="1">
      <alignment horizontal="center" vertical="center"/>
    </xf>
    <xf numFmtId="0" fontId="11" fillId="0" borderId="1" xfId="0" applyFont="1" applyBorder="1" applyAlignment="1">
      <alignment horizontal="center" vertical="center"/>
    </xf>
    <xf numFmtId="0" fontId="11" fillId="0" borderId="12" xfId="0" applyFont="1" applyBorder="1" applyAlignment="1">
      <alignment vertical="center"/>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vertical="center"/>
    </xf>
    <xf numFmtId="0" fontId="17" fillId="0" borderId="11"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12" xfId="0" applyFont="1" applyBorder="1" applyAlignment="1">
      <alignment vertical="center"/>
    </xf>
    <xf numFmtId="0" fontId="17" fillId="0" borderId="0" xfId="0" applyFont="1"/>
    <xf numFmtId="0" fontId="17" fillId="9" borderId="11" xfId="0" applyFont="1" applyFill="1" applyBorder="1" applyAlignment="1">
      <alignment horizontal="center" vertical="center"/>
    </xf>
    <xf numFmtId="0" fontId="17" fillId="9" borderId="1" xfId="0" applyFont="1" applyFill="1" applyBorder="1" applyAlignment="1">
      <alignment horizontal="center" vertical="center"/>
    </xf>
    <xf numFmtId="0" fontId="17" fillId="9" borderId="1" xfId="0" applyFont="1" applyFill="1" applyBorder="1" applyAlignment="1">
      <alignment horizontal="center" vertical="center" wrapText="1"/>
    </xf>
    <xf numFmtId="2" fontId="17" fillId="9" borderId="1" xfId="0" applyNumberFormat="1" applyFont="1" applyFill="1" applyBorder="1" applyAlignment="1">
      <alignment horizontal="center" vertical="center" wrapText="1"/>
    </xf>
    <xf numFmtId="0" fontId="17" fillId="9" borderId="12" xfId="0" applyFont="1" applyFill="1" applyBorder="1" applyAlignment="1">
      <alignment vertical="center"/>
    </xf>
    <xf numFmtId="0" fontId="17" fillId="9" borderId="0" xfId="0" applyFont="1" applyFill="1"/>
    <xf numFmtId="0" fontId="14" fillId="3" borderId="11" xfId="0" applyFont="1" applyFill="1" applyBorder="1" applyAlignment="1">
      <alignment horizontal="center"/>
    </xf>
    <xf numFmtId="0" fontId="14" fillId="3" borderId="1" xfId="0" applyFont="1" applyFill="1" applyBorder="1"/>
    <xf numFmtId="0" fontId="14" fillId="3" borderId="16" xfId="0" applyFont="1" applyFill="1" applyBorder="1" applyAlignment="1">
      <alignment horizontal="center"/>
    </xf>
    <xf numFmtId="0" fontId="14" fillId="3" borderId="17" xfId="0" applyFont="1" applyFill="1" applyBorder="1"/>
    <xf numFmtId="2" fontId="17" fillId="0" borderId="1" xfId="0" applyNumberFormat="1" applyFont="1" applyBorder="1" applyAlignment="1">
      <alignment horizontal="center" vertical="center"/>
    </xf>
    <xf numFmtId="0" fontId="17" fillId="0" borderId="1" xfId="0" applyFont="1" applyBorder="1" applyAlignment="1">
      <alignment vertical="center"/>
    </xf>
    <xf numFmtId="0" fontId="16" fillId="0" borderId="0" xfId="0" applyFont="1"/>
  </cellXfs>
  <cellStyles count="2">
    <cellStyle name="Normal" xfId="0" builtinId="0"/>
    <cellStyle name="Normal 2" xfId="1" xr:uid="{DE32192C-3F9F-4DC2-9EA5-146FCF187F8A}"/>
  </cellStyles>
  <dxfs count="91">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3"/>
        <color rgb="FFFFFFFF"/>
        <name val="Arial"/>
        <family val="2"/>
        <scheme val="none"/>
      </font>
      <fill>
        <patternFill patternType="solid">
          <fgColor indexed="64"/>
          <bgColor rgb="FF7B3F0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3"/>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auto="1"/>
        <name val="Arial"/>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4"/>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auto="1"/>
        <name val="Arial"/>
        <family val="2"/>
        <scheme val="none"/>
      </font>
      <fill>
        <patternFill patternType="none">
          <fgColor theme="5" tint="0.59999389629810485"/>
          <bgColor auto="1"/>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theme="5" tint="0.59999389629810485"/>
          <bgColor auto="1"/>
        </patternFill>
      </fill>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theme="5" tint="0.59999389629810485"/>
          <bgColor auto="1"/>
        </patternFill>
      </fill>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theme="4" tint="0.59999389629810485"/>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none">
          <bgColor auto="1"/>
        </patternFill>
      </fill>
    </dxf>
    <dxf>
      <font>
        <b/>
        <i val="0"/>
        <strike val="0"/>
        <condense val="0"/>
        <extend val="0"/>
        <outline val="0"/>
        <shadow val="0"/>
        <u val="none"/>
        <vertAlign val="baseline"/>
        <sz val="14"/>
        <color rgb="FFFFC00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auto="1"/>
        <name val="Arial"/>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auto="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Arial"/>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auto="1"/>
        <name val="Arial"/>
        <family val="2"/>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3"/>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Arial"/>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auto="1"/>
        <name val="Arial"/>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auto="1"/>
        <name val="Arial"/>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auto="1"/>
        <name val="Arial"/>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3"/>
        <color auto="1"/>
        <name val="Arial"/>
        <family val="2"/>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rial"/>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F27C45-874E-4B7C-B5FC-C409B116FDE9}" name="Table6" displayName="Table6" ref="A1:O50" totalsRowShown="0" headerRowDxfId="90" dataDxfId="88" headerRowBorderDxfId="89" tableBorderDxfId="87" totalsRowBorderDxfId="86">
  <autoFilter ref="A1:O50" xr:uid="{00000000-0009-0000-0000-000000000000}"/>
  <tableColumns count="15">
    <tableColumn id="1" xr3:uid="{F7F05447-A2ED-4BD4-8A55-03ABCA25E4EA}" name="Mã tuyến" dataDxfId="85"/>
    <tableColumn id="2" xr3:uid="{229801F1-DCEE-451E-917F-F560EA35554F}" name="Tên tuyến" dataDxfId="84"/>
    <tableColumn id="3" xr3:uid="{4F852BC1-DBA8-4B5F-AAE2-85EC787967C2}" name="Cấp quản lý" dataDxfId="83"/>
    <tableColumn id="4" xr3:uid="{0643DAF9-9B8D-4F87-8677-F08927D38A41}" name="CD quản lý (km)" dataDxfId="82"/>
    <tableColumn id="5" xr3:uid="{E3B9262B-13B8-400A-B66F-BC5E9051B155}" name="CD thực tế (km)" dataDxfId="81"/>
    <tableColumn id="6" xr3:uid="{4A72A890-C463-476A-A36A-E73D28D0ED28}" name="Đơn vị quản lý" dataDxfId="80"/>
    <tableColumn id="7" xr3:uid="{B9E1A61C-5530-4E83-9ABD-4205A08EB961}" name="Điểm đầu" dataDxfId="79"/>
    <tableColumn id="8" xr3:uid="{7799C677-9093-4406-8DCC-229636D13681}" name="Điểm cuối" dataDxfId="78"/>
    <tableColumn id="9" xr3:uid="{61ABE95B-C97A-4E6B-81D5-D3A9D917D524}" name="Lat đầu" dataDxfId="77"/>
    <tableColumn id="10" xr3:uid="{80A9BBEC-E09B-4C41-B12B-0EED1C6E387D}" name="Lng đầu" dataDxfId="76"/>
    <tableColumn id="11" xr3:uid="{6BC6E265-AC68-4EFA-A3F5-C51F9FCD4630}" name="Lat cuối" dataDxfId="75"/>
    <tableColumn id="12" xr3:uid="{0394693D-75DE-4B3C-B355-55CC046D98A0}" name="Lng cuối" dataDxfId="74"/>
    <tableColumn id="13" xr3:uid="{12ACCC8A-59BC-4373-9360-E34BF0B42649}" name="Năm xây dựng" dataDxfId="0"/>
    <tableColumn id="14" xr3:uid="{D0950277-BB12-4EA5-B75D-C1BFC3F41689}" name="Năm hoàn thành" dataDxfId="73"/>
    <tableColumn id="15" xr3:uid="{3D449CF7-2B8B-430A-A3E6-2C3924E85C05}" name="Ghi chú" dataDxfId="7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2143DA-3681-41AD-900A-B1B168684B34}" name="Table1" displayName="Table1" ref="A1:N208" totalsRowShown="0" headerRowDxfId="14" dataDxfId="15" headerRowBorderDxfId="31" tableBorderDxfId="32" totalsRowBorderDxfId="30">
  <autoFilter ref="A1:N208" xr:uid="{00000000-0009-0000-0000-000001000000}"/>
  <tableColumns count="14">
    <tableColumn id="1" xr3:uid="{5A243110-AA3F-4506-BE0B-E61914F44435}" name="Mã đoạn" dataDxfId="29"/>
    <tableColumn id="2" xr3:uid="{82748143-6448-4AC1-9B61-3287A1A950D2}" name="Mã tuyến" dataDxfId="28"/>
    <tableColumn id="3" xr3:uid="{A6D8BCE3-DA6C-4708-980E-0EAC148F3127}" name="Cấp đường" dataDxfId="27"/>
    <tableColumn id="4" xr3:uid="{7F4805D2-6F33-434B-88EA-A61738A6C9B7}" name="Lý trình đầu (km)" dataDxfId="26"/>
    <tableColumn id="5" xr3:uid="{BC7E5F0A-83EB-4E90-A5BF-DA91EDDA20A7}" name="Lý trình cuối (km)" dataDxfId="25"/>
    <tableColumn id="6" xr3:uid="{94F84141-9DB5-4566-B3B6-FA657E4B1490}" name="Tình trạng" dataDxfId="24"/>
    <tableColumn id="7" xr3:uid="{72850592-D43B-41CB-AD16-319982C5F1D9}" name="CD thực tế (km)" dataDxfId="23"/>
    <tableColumn id="8" xr3:uid="{0238CC43-94BA-4344-9F14-9ADE7AA5AAC5}" name="Mã kết cấu mặt" dataDxfId="22"/>
    <tableColumn id="9" xr3:uid="{7E65411B-1444-4D30-8135-555A0D8A0023}" name="Rộng mặt min (m)" dataDxfId="21"/>
    <tableColumn id="10" xr3:uid="{44E4AF34-9504-4DD0-A38B-406A83C5B104}" name="Rộng mặt max (m)" dataDxfId="20"/>
    <tableColumn id="11" xr3:uid="{54D13739-A782-4FB1-9CA7-ABF900E5DC7B}" name="Rộng nền min (m)" dataDxfId="19"/>
    <tableColumn id="12" xr3:uid="{33053654-9134-4F85-B95C-EAA7B2AEFBB2}" name="Rộng nền max (m)" dataDxfId="18"/>
    <tableColumn id="13" xr3:uid="{177149AC-EA8E-4C96-B7A8-0537E1885222}" name="Đơn vị bảo dưỡng" dataDxfId="17"/>
    <tableColumn id="14" xr3:uid="{CC78A5BB-8A19-42EE-984E-305B0B5EDFED}" name="Ghi chú" dataDxfId="1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743309-9187-4405-B529-43F40707C652}" name="Table18" displayName="Table18" ref="A1:I13" totalsRowShown="0" headerRowDxfId="1" dataDxfId="71" headerRowBorderDxfId="12" tableBorderDxfId="13" totalsRowBorderDxfId="11">
  <autoFilter ref="A1:I13" xr:uid="{21743309-9187-4405-B529-43F40707C652}"/>
  <tableColumns count="9">
    <tableColumn id="1" xr3:uid="{62DDD64A-B2E2-4AC3-9378-0BEAD395D5D6}" name="Tuyến đi chung" dataDxfId="10"/>
    <tableColumn id="11" xr3:uid="{39C1441E-E76E-497B-8A84-9E7CFC21FDE8}" name="Tuyến chính" dataDxfId="9"/>
    <tableColumn id="2" xr3:uid="{B088B7D5-DB99-4940-B18F-254EDD0FBBAA}" name="Mã đoạn (tuyến chủ)" dataDxfId="8"/>
    <tableColumn id="3" xr3:uid="{8F0B5946-C9F0-45D2-9765-910A823F14A0}" name="Lý trình đầu đi chung" dataDxfId="7"/>
    <tableColumn id="4" xr3:uid="{DA635A7C-93E9-4B79-90FB-E73EA17433D2}" name="Lý trình cuối đi chung" dataDxfId="6"/>
    <tableColumn id="6" xr3:uid="{36A160D8-4911-428B-BC35-6F7150A50625}" name="Lý trình đầu tuyến chính" dataDxfId="5"/>
    <tableColumn id="7" xr3:uid="{EF3B275C-85DF-4502-85FF-1DFDB0DD3822}" name="Lý trình cuối tuyến chính" dataDxfId="4"/>
    <tableColumn id="12" xr3:uid="{B5D35CF0-B366-4ECE-80C0-822A413B8134}" name="Chiều dài đi chung" dataDxfId="3">
      <calculatedColumnFormula>Table18[[#This Row],[Lý trình cuối đi chung]]-Table18[[#This Row],[Lý trình đầu đi chung]]</calculatedColumnFormula>
    </tableColumn>
    <tableColumn id="5" xr3:uid="{DA66B68B-1302-4273-AF51-CBCB691AA306}" name="Ghi chú" dataDxfId="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7DEAA1-417A-4B24-8FAC-755EDDFB46F2}" name="Table2" displayName="Table2" ref="A1:C10" totalsRowShown="0" headerRowDxfId="70" headerRowBorderDxfId="69" tableBorderDxfId="68" totalsRowBorderDxfId="67">
  <autoFilter ref="A1:C10" xr:uid="{407DEAA1-417A-4B24-8FAC-755EDDFB46F2}"/>
  <tableColumns count="3">
    <tableColumn id="1" xr3:uid="{A3FFD2B3-91E7-4EB2-85C8-BB4468C9A928}" name="ma" dataDxfId="66"/>
    <tableColumn id="2" xr3:uid="{5C404D1F-878C-4C02-9910-27C755DCEF79}" name="ten" dataDxfId="65"/>
    <tableColumn id="3" xr3:uid="{3401E260-BFBE-4F45-8103-87B9F81A238B}" name="mo_ta" dataDxfId="6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A7F0B0-CDB5-4FDA-A663-3910215DD203}" name="Table3" displayName="Table3" ref="A1:C17" totalsRowShown="0" headerRowDxfId="63" headerRowBorderDxfId="62" tableBorderDxfId="61" totalsRowBorderDxfId="60">
  <autoFilter ref="A1:C17" xr:uid="{4BA7F0B0-CDB5-4FDA-A663-3910215DD203}"/>
  <tableColumns count="3">
    <tableColumn id="1" xr3:uid="{5E8E435D-A5D0-446A-8F6C-15CFB008990B}" name="Mã đơn vị" dataDxfId="59"/>
    <tableColumn id="2" xr3:uid="{7A962071-338A-4D61-8380-4218224837F9}" name="Tên đơn vị" dataDxfId="58"/>
    <tableColumn id="3" xr3:uid="{A9E300B8-9A70-40C7-8295-F211A6DFDDC5}" name="Loại đơn vị" dataDxfId="5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D73CD-396F-4A94-BF28-46F00E104F59}" name="Table4" displayName="Table4" ref="A1:D9" totalsRowShown="0" headerRowDxfId="56" headerRowBorderDxfId="55" tableBorderDxfId="54" totalsRowBorderDxfId="53">
  <autoFilter ref="A1:D9" xr:uid="{449D73CD-396F-4A94-BF28-46F00E104F59}"/>
  <tableColumns count="4">
    <tableColumn id="1" xr3:uid="{7DAF5E0B-9E0F-44EB-A68E-23C9B90C6C58}" name="ma_cap" dataDxfId="52"/>
    <tableColumn id="2" xr3:uid="{1BD33F16-36D8-4E2A-80E6-7C8A655AA250}" name="ten_cap" dataDxfId="51"/>
    <tableColumn id="3" xr3:uid="{A9EE3611-21E9-488F-87A9-55E28BD30330}" name="mo_ta" dataDxfId="50"/>
    <tableColumn id="4" xr3:uid="{9BFD356E-605B-400A-898F-E405602E418F}" name="thu_tu_hien_thi" dataDxfId="49"/>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A226A7-C9D1-4372-B503-85C7C1814ADA}" name="Table11" displayName="Table11" ref="A1:D8" totalsRowShown="0" headerRowDxfId="48" dataDxfId="47" tableBorderDxfId="46">
  <autoFilter ref="A1:D8" xr:uid="{90A226A7-C9D1-4372-B503-85C7C1814ADA}"/>
  <tableColumns count="4">
    <tableColumn id="1" xr3:uid="{F753712D-BD5B-42DE-B7E4-8F3D0D176E28}" name="Ma_cap" dataDxfId="45"/>
    <tableColumn id="2" xr3:uid="{5B0101BE-0DC0-4393-B522-B6F65F4F604A}" name="ten_cap" dataDxfId="44"/>
    <tableColumn id="3" xr3:uid="{B2AFA268-16FC-4B91-A4DB-C3B6AB9776BA}" name="mo_ta" dataDxfId="43"/>
    <tableColumn id="4" xr3:uid="{68E65E67-2F35-400E-B704-91E4FBB614F6}" name="thu_tu_hien_thi" dataDxfId="42"/>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BB339D-7159-42AA-905D-C393F6AFD807}" name="Table510" displayName="Table510" ref="A1:D7" totalsRowShown="0" headerRowDxfId="41" dataDxfId="39" headerRowBorderDxfId="40" tableBorderDxfId="38" totalsRowBorderDxfId="37">
  <autoFilter ref="A1:D7" xr:uid="{92BB339D-7159-42AA-905D-C393F6AFD807}"/>
  <tableColumns count="4">
    <tableColumn id="1" xr3:uid="{30F91324-8313-456E-85EA-0A930AEE777F}" name="ma_ket_cau" dataDxfId="36"/>
    <tableColumn id="5" xr3:uid="{BB9B7B6D-9381-42A7-B1FB-A44D4A5ED483}" name="ten_ket_cau" dataDxfId="35"/>
    <tableColumn id="2" xr3:uid="{5C1BE301-15D1-401C-BDE8-6603435072FC}" name="mo_ta" dataDxfId="34"/>
    <tableColumn id="3" xr3:uid="{771FD841-AD7F-4F26-B6FE-38DE31EF9426}" name="thu_tu_hien_thi" dataDxfId="33"/>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
  <sheetViews>
    <sheetView tabSelected="1" workbookViewId="0">
      <pane ySplit="1" topLeftCell="A2" activePane="bottomLeft" state="frozen"/>
      <selection pane="bottomLeft" activeCell="G9" sqref="G9"/>
    </sheetView>
  </sheetViews>
  <sheetFormatPr defaultRowHeight="14.4" x14ac:dyDescent="0.3"/>
  <cols>
    <col min="1" max="1" width="12" style="9" customWidth="1"/>
    <col min="2" max="2" width="38.77734375" style="9" bestFit="1" customWidth="1"/>
    <col min="3" max="3" width="16.21875" style="9" customWidth="1"/>
    <col min="4" max="5" width="18" style="9" customWidth="1"/>
    <col min="6" max="6" width="27.6640625" style="9" customWidth="1"/>
    <col min="7" max="7" width="35.5546875" bestFit="1" customWidth="1"/>
    <col min="8" max="8" width="38.88671875" bestFit="1" customWidth="1"/>
    <col min="9" max="13" width="11.109375" customWidth="1"/>
    <col min="14" max="14" width="11.109375" style="9" customWidth="1"/>
    <col min="15" max="15" width="11.109375" customWidth="1"/>
  </cols>
  <sheetData>
    <row r="1" spans="1:15" ht="42.6" customHeight="1" x14ac:dyDescent="0.3">
      <c r="A1" s="40" t="s">
        <v>0</v>
      </c>
      <c r="B1" s="41" t="s">
        <v>1</v>
      </c>
      <c r="C1" s="41" t="s">
        <v>2</v>
      </c>
      <c r="D1" s="41" t="s">
        <v>3</v>
      </c>
      <c r="E1" s="41" t="s">
        <v>4</v>
      </c>
      <c r="F1" s="41" t="s">
        <v>5</v>
      </c>
      <c r="G1" s="41" t="s">
        <v>6</v>
      </c>
      <c r="H1" s="41" t="s">
        <v>7</v>
      </c>
      <c r="I1" s="41" t="s">
        <v>8</v>
      </c>
      <c r="J1" s="41" t="s">
        <v>9</v>
      </c>
      <c r="K1" s="41" t="s">
        <v>10</v>
      </c>
      <c r="L1" s="41" t="s">
        <v>11</v>
      </c>
      <c r="M1" s="41" t="s">
        <v>12</v>
      </c>
      <c r="N1" s="41" t="s">
        <v>13</v>
      </c>
      <c r="O1" s="42" t="s">
        <v>14</v>
      </c>
    </row>
    <row r="2" spans="1:15" ht="25.2" customHeight="1" x14ac:dyDescent="0.3">
      <c r="A2" s="38" t="s">
        <v>15</v>
      </c>
      <c r="B2" s="14" t="s">
        <v>16</v>
      </c>
      <c r="C2" s="14" t="s">
        <v>17</v>
      </c>
      <c r="D2" s="14">
        <v>96.4</v>
      </c>
      <c r="E2" s="14">
        <v>96.4</v>
      </c>
      <c r="F2" s="5" t="s">
        <v>575</v>
      </c>
      <c r="G2" s="13" t="s">
        <v>18</v>
      </c>
      <c r="H2" s="13" t="s">
        <v>19</v>
      </c>
      <c r="I2" s="13"/>
      <c r="J2" s="13"/>
      <c r="K2" s="13"/>
      <c r="L2" s="13"/>
      <c r="M2" s="14">
        <v>2014</v>
      </c>
      <c r="N2" s="14"/>
      <c r="O2" s="39"/>
    </row>
    <row r="3" spans="1:15" ht="25.2" customHeight="1" x14ac:dyDescent="0.3">
      <c r="A3" s="38" t="s">
        <v>20</v>
      </c>
      <c r="B3" s="14" t="s">
        <v>21</v>
      </c>
      <c r="C3" s="14" t="s">
        <v>17</v>
      </c>
      <c r="D3" s="14">
        <v>103.1</v>
      </c>
      <c r="E3" s="14">
        <v>103.1</v>
      </c>
      <c r="F3" s="5" t="s">
        <v>575</v>
      </c>
      <c r="G3" s="13" t="s">
        <v>22</v>
      </c>
      <c r="H3" s="13" t="s">
        <v>23</v>
      </c>
      <c r="I3" s="13"/>
      <c r="J3" s="13"/>
      <c r="K3" s="13"/>
      <c r="L3" s="13"/>
      <c r="M3" s="14">
        <v>2015</v>
      </c>
      <c r="N3" s="14"/>
      <c r="O3" s="39"/>
    </row>
    <row r="4" spans="1:15" ht="25.2" customHeight="1" x14ac:dyDescent="0.3">
      <c r="A4" s="38" t="s">
        <v>24</v>
      </c>
      <c r="B4" s="14" t="s">
        <v>25</v>
      </c>
      <c r="C4" s="14" t="s">
        <v>17</v>
      </c>
      <c r="D4" s="14">
        <v>134.06</v>
      </c>
      <c r="E4" s="14">
        <v>134.06</v>
      </c>
      <c r="F4" s="5" t="s">
        <v>575</v>
      </c>
      <c r="G4" s="13" t="s">
        <v>26</v>
      </c>
      <c r="H4" s="13" t="s">
        <v>27</v>
      </c>
      <c r="I4" s="13"/>
      <c r="J4" s="13"/>
      <c r="K4" s="13"/>
      <c r="L4" s="13"/>
      <c r="M4" s="14">
        <v>2016</v>
      </c>
      <c r="N4" s="14"/>
      <c r="O4" s="39"/>
    </row>
    <row r="5" spans="1:15" ht="25.2" customHeight="1" x14ac:dyDescent="0.3">
      <c r="A5" s="38" t="s">
        <v>28</v>
      </c>
      <c r="B5" s="14" t="s">
        <v>29</v>
      </c>
      <c r="C5" s="14" t="s">
        <v>17</v>
      </c>
      <c r="D5" s="14">
        <v>121.5</v>
      </c>
      <c r="E5" s="14">
        <v>121.5</v>
      </c>
      <c r="F5" s="5" t="s">
        <v>575</v>
      </c>
      <c r="G5" s="13" t="s">
        <v>30</v>
      </c>
      <c r="H5" s="13" t="s">
        <v>31</v>
      </c>
      <c r="I5" s="13"/>
      <c r="J5" s="13"/>
      <c r="K5" s="13"/>
      <c r="L5" s="13"/>
      <c r="M5" s="14">
        <v>2012</v>
      </c>
      <c r="N5" s="14"/>
      <c r="O5" s="39"/>
    </row>
    <row r="6" spans="1:15" ht="25.2" customHeight="1" x14ac:dyDescent="0.3">
      <c r="A6" s="38" t="s">
        <v>32</v>
      </c>
      <c r="B6" s="14" t="s">
        <v>33</v>
      </c>
      <c r="C6" s="14" t="s">
        <v>17</v>
      </c>
      <c r="D6" s="14">
        <v>94.1</v>
      </c>
      <c r="E6" s="14">
        <v>94.1</v>
      </c>
      <c r="F6" s="5" t="s">
        <v>575</v>
      </c>
      <c r="G6" s="13" t="s">
        <v>34</v>
      </c>
      <c r="H6" s="13" t="s">
        <v>35</v>
      </c>
      <c r="I6" s="13"/>
      <c r="J6" s="13"/>
      <c r="K6" s="13"/>
      <c r="L6" s="13"/>
      <c r="M6" s="14">
        <v>2017</v>
      </c>
      <c r="N6" s="14"/>
      <c r="O6" s="39"/>
    </row>
    <row r="7" spans="1:15" ht="25.2" customHeight="1" x14ac:dyDescent="0.3">
      <c r="A7" s="38" t="s">
        <v>36</v>
      </c>
      <c r="B7" s="14" t="s">
        <v>37</v>
      </c>
      <c r="C7" s="14" t="s">
        <v>17</v>
      </c>
      <c r="D7" s="14">
        <v>174.05</v>
      </c>
      <c r="E7" s="14">
        <v>174.05</v>
      </c>
      <c r="F7" s="5" t="s">
        <v>575</v>
      </c>
      <c r="G7" s="13" t="s">
        <v>38</v>
      </c>
      <c r="H7" s="13" t="s">
        <v>39</v>
      </c>
      <c r="I7" s="13"/>
      <c r="J7" s="13"/>
      <c r="K7" s="13"/>
      <c r="L7" s="13"/>
      <c r="M7" s="14">
        <v>2009</v>
      </c>
      <c r="N7" s="14"/>
      <c r="O7" s="39"/>
    </row>
    <row r="8" spans="1:15" ht="25.2" customHeight="1" x14ac:dyDescent="0.3">
      <c r="A8" s="38" t="s">
        <v>40</v>
      </c>
      <c r="B8" s="14" t="s">
        <v>41</v>
      </c>
      <c r="C8" s="14" t="s">
        <v>17</v>
      </c>
      <c r="D8" s="14">
        <v>17.5</v>
      </c>
      <c r="E8" s="14">
        <v>17.5</v>
      </c>
      <c r="F8" s="5" t="s">
        <v>575</v>
      </c>
      <c r="G8" s="13" t="s">
        <v>42</v>
      </c>
      <c r="H8" s="13" t="s">
        <v>43</v>
      </c>
      <c r="I8" s="13"/>
      <c r="J8" s="13"/>
      <c r="K8" s="13"/>
      <c r="L8" s="13"/>
      <c r="M8" s="14">
        <v>2001</v>
      </c>
      <c r="N8" s="14"/>
      <c r="O8" s="39"/>
    </row>
    <row r="9" spans="1:15" ht="25.2" customHeight="1" x14ac:dyDescent="0.3">
      <c r="A9" s="38" t="s">
        <v>44</v>
      </c>
      <c r="B9" s="14" t="s">
        <v>45</v>
      </c>
      <c r="C9" s="14" t="s">
        <v>17</v>
      </c>
      <c r="D9" s="14">
        <v>27.6</v>
      </c>
      <c r="E9" s="14">
        <v>27.6</v>
      </c>
      <c r="F9" s="5" t="s">
        <v>575</v>
      </c>
      <c r="G9" s="13" t="s">
        <v>42</v>
      </c>
      <c r="H9" s="13" t="s">
        <v>46</v>
      </c>
      <c r="I9" s="13"/>
      <c r="J9" s="13"/>
      <c r="K9" s="13"/>
      <c r="L9" s="13"/>
      <c r="M9" s="14">
        <v>2016</v>
      </c>
      <c r="N9" s="14"/>
      <c r="O9" s="39"/>
    </row>
    <row r="10" spans="1:15" ht="25.2" customHeight="1" x14ac:dyDescent="0.3">
      <c r="A10" s="38" t="s">
        <v>47</v>
      </c>
      <c r="B10" s="14" t="s">
        <v>48</v>
      </c>
      <c r="C10" s="14" t="s">
        <v>17</v>
      </c>
      <c r="D10" s="14">
        <v>175.00399999999999</v>
      </c>
      <c r="E10" s="14">
        <v>175.00399999999999</v>
      </c>
      <c r="F10" s="5" t="s">
        <v>575</v>
      </c>
      <c r="G10" s="13" t="s">
        <v>49</v>
      </c>
      <c r="H10" s="13" t="s">
        <v>50</v>
      </c>
      <c r="I10" s="13"/>
      <c r="J10" s="13"/>
      <c r="K10" s="13"/>
      <c r="L10" s="13"/>
      <c r="M10" s="14">
        <v>2012</v>
      </c>
      <c r="N10" s="14"/>
      <c r="O10" s="39"/>
    </row>
    <row r="11" spans="1:15" ht="25.2" customHeight="1" x14ac:dyDescent="0.3">
      <c r="A11" s="38" t="s">
        <v>51</v>
      </c>
      <c r="B11" s="14" t="s">
        <v>52</v>
      </c>
      <c r="C11" s="14" t="s">
        <v>53</v>
      </c>
      <c r="D11" s="14">
        <v>39.799999999999997</v>
      </c>
      <c r="E11" s="14">
        <v>39.799999999999997</v>
      </c>
      <c r="F11" s="5" t="s">
        <v>575</v>
      </c>
      <c r="G11" s="13" t="s">
        <v>54</v>
      </c>
      <c r="H11" s="13" t="s">
        <v>55</v>
      </c>
      <c r="I11" s="13"/>
      <c r="J11" s="13"/>
      <c r="K11" s="13"/>
      <c r="L11" s="13"/>
      <c r="M11" s="14">
        <v>2023</v>
      </c>
      <c r="N11" s="14"/>
      <c r="O11" s="39"/>
    </row>
    <row r="12" spans="1:15" ht="25.2" customHeight="1" x14ac:dyDescent="0.3">
      <c r="A12" s="38" t="s">
        <v>56</v>
      </c>
      <c r="B12" s="14" t="s">
        <v>57</v>
      </c>
      <c r="C12" s="14" t="s">
        <v>53</v>
      </c>
      <c r="D12" s="14">
        <v>50.6</v>
      </c>
      <c r="E12" s="14">
        <v>50.6</v>
      </c>
      <c r="F12" s="5" t="s">
        <v>575</v>
      </c>
      <c r="G12" s="13" t="s">
        <v>58</v>
      </c>
      <c r="H12" s="13" t="s">
        <v>59</v>
      </c>
      <c r="I12" s="13"/>
      <c r="J12" s="13"/>
      <c r="K12" s="13"/>
      <c r="L12" s="13"/>
      <c r="M12" s="14">
        <v>2015</v>
      </c>
      <c r="N12" s="14"/>
      <c r="O12" s="39"/>
    </row>
    <row r="13" spans="1:15" ht="25.2" customHeight="1" x14ac:dyDescent="0.3">
      <c r="A13" s="38" t="s">
        <v>60</v>
      </c>
      <c r="B13" s="14" t="s">
        <v>61</v>
      </c>
      <c r="C13" s="14" t="s">
        <v>53</v>
      </c>
      <c r="D13" s="14">
        <v>37.6</v>
      </c>
      <c r="E13" s="14">
        <v>37.6</v>
      </c>
      <c r="F13" s="5" t="s">
        <v>575</v>
      </c>
      <c r="G13" s="13" t="s">
        <v>62</v>
      </c>
      <c r="H13" s="13" t="s">
        <v>63</v>
      </c>
      <c r="I13" s="13"/>
      <c r="J13" s="13"/>
      <c r="K13" s="13"/>
      <c r="L13" s="13"/>
      <c r="M13" s="14">
        <v>2018</v>
      </c>
      <c r="N13" s="14"/>
      <c r="O13" s="39"/>
    </row>
    <row r="14" spans="1:15" ht="25.2" customHeight="1" x14ac:dyDescent="0.3">
      <c r="A14" s="38" t="s">
        <v>64</v>
      </c>
      <c r="B14" s="14" t="s">
        <v>65</v>
      </c>
      <c r="C14" s="14" t="s">
        <v>53</v>
      </c>
      <c r="D14" s="14">
        <v>68.501000000000005</v>
      </c>
      <c r="E14" s="14">
        <v>68.501000000000005</v>
      </c>
      <c r="F14" s="5" t="s">
        <v>575</v>
      </c>
      <c r="G14" s="13" t="s">
        <v>66</v>
      </c>
      <c r="H14" s="13" t="s">
        <v>62</v>
      </c>
      <c r="I14" s="13"/>
      <c r="J14" s="13"/>
      <c r="K14" s="13"/>
      <c r="L14" s="13"/>
      <c r="M14" s="14">
        <v>2015</v>
      </c>
      <c r="N14" s="14"/>
      <c r="O14" s="39"/>
    </row>
    <row r="15" spans="1:15" ht="25.2" customHeight="1" x14ac:dyDescent="0.3">
      <c r="A15" s="38" t="s">
        <v>67</v>
      </c>
      <c r="B15" s="14" t="s">
        <v>68</v>
      </c>
      <c r="C15" s="14" t="s">
        <v>53</v>
      </c>
      <c r="D15" s="14">
        <v>55</v>
      </c>
      <c r="E15" s="14">
        <v>55</v>
      </c>
      <c r="F15" s="5" t="s">
        <v>575</v>
      </c>
      <c r="G15" s="13" t="s">
        <v>69</v>
      </c>
      <c r="H15" s="13" t="s">
        <v>70</v>
      </c>
      <c r="I15" s="13"/>
      <c r="J15" s="13"/>
      <c r="K15" s="13"/>
      <c r="L15" s="13"/>
      <c r="M15" s="14"/>
      <c r="N15" s="14"/>
      <c r="O15" s="39"/>
    </row>
    <row r="16" spans="1:15" ht="25.2" customHeight="1" x14ac:dyDescent="0.3">
      <c r="A16" s="38" t="s">
        <v>71</v>
      </c>
      <c r="B16" s="14" t="s">
        <v>72</v>
      </c>
      <c r="C16" s="14" t="s">
        <v>53</v>
      </c>
      <c r="D16" s="14">
        <v>66.3</v>
      </c>
      <c r="E16" s="14">
        <v>66.3</v>
      </c>
      <c r="F16" s="5" t="s">
        <v>575</v>
      </c>
      <c r="G16" s="13" t="s">
        <v>73</v>
      </c>
      <c r="H16" s="13" t="s">
        <v>74</v>
      </c>
      <c r="I16" s="13"/>
      <c r="J16" s="13"/>
      <c r="K16" s="13"/>
      <c r="L16" s="13"/>
      <c r="M16" s="14">
        <v>2013</v>
      </c>
      <c r="N16" s="14"/>
      <c r="O16" s="39"/>
    </row>
    <row r="17" spans="1:15" ht="25.2" customHeight="1" x14ac:dyDescent="0.3">
      <c r="A17" s="38" t="s">
        <v>75</v>
      </c>
      <c r="B17" s="14" t="s">
        <v>76</v>
      </c>
      <c r="C17" s="14" t="s">
        <v>53</v>
      </c>
      <c r="D17" s="14">
        <v>109</v>
      </c>
      <c r="E17" s="14">
        <v>109</v>
      </c>
      <c r="F17" s="5" t="s">
        <v>575</v>
      </c>
      <c r="G17" s="13" t="s">
        <v>77</v>
      </c>
      <c r="H17" s="13" t="s">
        <v>78</v>
      </c>
      <c r="I17" s="13"/>
      <c r="J17" s="13"/>
      <c r="K17" s="13"/>
      <c r="L17" s="13"/>
      <c r="M17" s="14">
        <v>2010</v>
      </c>
      <c r="N17" s="14"/>
      <c r="O17" s="39"/>
    </row>
    <row r="18" spans="1:15" ht="25.2" customHeight="1" x14ac:dyDescent="0.3">
      <c r="A18" s="38" t="s">
        <v>79</v>
      </c>
      <c r="B18" s="14" t="s">
        <v>80</v>
      </c>
      <c r="C18" s="14" t="s">
        <v>53</v>
      </c>
      <c r="D18" s="14">
        <v>73</v>
      </c>
      <c r="E18" s="14">
        <v>73</v>
      </c>
      <c r="F18" s="5" t="s">
        <v>575</v>
      </c>
      <c r="G18" s="13" t="s">
        <v>81</v>
      </c>
      <c r="H18" s="13" t="s">
        <v>82</v>
      </c>
      <c r="I18" s="13"/>
      <c r="J18" s="13"/>
      <c r="K18" s="13"/>
      <c r="L18" s="13"/>
      <c r="M18" s="14">
        <v>2010</v>
      </c>
      <c r="N18" s="14"/>
      <c r="O18" s="39"/>
    </row>
    <row r="19" spans="1:15" ht="25.2" customHeight="1" x14ac:dyDescent="0.3">
      <c r="A19" s="38" t="s">
        <v>83</v>
      </c>
      <c r="B19" s="14" t="s">
        <v>84</v>
      </c>
      <c r="C19" s="14" t="s">
        <v>53</v>
      </c>
      <c r="D19" s="14">
        <v>58</v>
      </c>
      <c r="E19" s="14">
        <v>58</v>
      </c>
      <c r="F19" s="5" t="s">
        <v>575</v>
      </c>
      <c r="G19" s="13" t="s">
        <v>85</v>
      </c>
      <c r="H19" s="13" t="s">
        <v>86</v>
      </c>
      <c r="I19" s="13"/>
      <c r="J19" s="13"/>
      <c r="K19" s="13"/>
      <c r="L19" s="13"/>
      <c r="M19" s="14"/>
      <c r="N19" s="14"/>
      <c r="O19" s="39"/>
    </row>
    <row r="20" spans="1:15" ht="25.2" customHeight="1" x14ac:dyDescent="0.3">
      <c r="A20" s="38" t="s">
        <v>87</v>
      </c>
      <c r="B20" s="14" t="s">
        <v>88</v>
      </c>
      <c r="C20" s="14" t="s">
        <v>53</v>
      </c>
      <c r="D20" s="14">
        <v>18.399999999999999</v>
      </c>
      <c r="E20" s="14">
        <v>18.399999999999999</v>
      </c>
      <c r="F20" s="5" t="s">
        <v>575</v>
      </c>
      <c r="G20" s="13" t="s">
        <v>89</v>
      </c>
      <c r="H20" s="13" t="s">
        <v>90</v>
      </c>
      <c r="I20" s="13"/>
      <c r="J20" s="13"/>
      <c r="K20" s="13"/>
      <c r="L20" s="13"/>
      <c r="M20" s="14">
        <v>2025</v>
      </c>
      <c r="N20" s="14"/>
      <c r="O20" s="39"/>
    </row>
    <row r="21" spans="1:15" ht="25.2" customHeight="1" x14ac:dyDescent="0.3">
      <c r="A21" s="38" t="s">
        <v>91</v>
      </c>
      <c r="B21" s="14" t="s">
        <v>92</v>
      </c>
      <c r="C21" s="14" t="s">
        <v>53</v>
      </c>
      <c r="D21" s="14">
        <v>56.44</v>
      </c>
      <c r="E21" s="14">
        <v>56.44</v>
      </c>
      <c r="F21" s="5" t="s">
        <v>575</v>
      </c>
      <c r="G21" s="13" t="s">
        <v>93</v>
      </c>
      <c r="H21" s="13" t="s">
        <v>78</v>
      </c>
      <c r="I21" s="13"/>
      <c r="J21" s="13"/>
      <c r="K21" s="13"/>
      <c r="L21" s="13"/>
      <c r="M21" s="14">
        <v>2012</v>
      </c>
      <c r="N21" s="14"/>
      <c r="O21" s="39"/>
    </row>
    <row r="22" spans="1:15" s="110" customFormat="1" ht="25.2" customHeight="1" x14ac:dyDescent="0.3">
      <c r="A22" s="93" t="s">
        <v>94</v>
      </c>
      <c r="B22" s="94" t="s">
        <v>95</v>
      </c>
      <c r="C22" s="94" t="s">
        <v>53</v>
      </c>
      <c r="D22" s="94">
        <v>71.2</v>
      </c>
      <c r="E22" s="94">
        <v>71.2</v>
      </c>
      <c r="F22" s="94" t="s">
        <v>575</v>
      </c>
      <c r="G22" s="109" t="s">
        <v>96</v>
      </c>
      <c r="H22" s="109" t="s">
        <v>97</v>
      </c>
      <c r="I22" s="109"/>
      <c r="J22" s="109"/>
      <c r="K22" s="109"/>
      <c r="L22" s="109"/>
      <c r="M22" s="94">
        <v>2010</v>
      </c>
      <c r="N22" s="94"/>
      <c r="O22" s="96"/>
    </row>
    <row r="23" spans="1:15" ht="25.2" customHeight="1" x14ac:dyDescent="0.3">
      <c r="A23" s="38" t="s">
        <v>98</v>
      </c>
      <c r="B23" s="14" t="s">
        <v>99</v>
      </c>
      <c r="C23" s="14" t="s">
        <v>53</v>
      </c>
      <c r="D23" s="14">
        <v>79.2</v>
      </c>
      <c r="E23" s="14">
        <v>79.2</v>
      </c>
      <c r="F23" s="5" t="s">
        <v>575</v>
      </c>
      <c r="G23" s="13" t="s">
        <v>100</v>
      </c>
      <c r="H23" s="13" t="s">
        <v>101</v>
      </c>
      <c r="I23" s="13"/>
      <c r="J23" s="13"/>
      <c r="K23" s="13"/>
      <c r="L23" s="13"/>
      <c r="M23" s="14">
        <v>2013</v>
      </c>
      <c r="N23" s="14"/>
      <c r="O23" s="39"/>
    </row>
    <row r="24" spans="1:15" ht="25.2" customHeight="1" x14ac:dyDescent="0.3">
      <c r="A24" s="38" t="s">
        <v>102</v>
      </c>
      <c r="B24" s="14" t="s">
        <v>103</v>
      </c>
      <c r="C24" s="14" t="s">
        <v>53</v>
      </c>
      <c r="D24" s="14">
        <v>106.43</v>
      </c>
      <c r="E24" s="14">
        <v>106.43</v>
      </c>
      <c r="F24" s="5" t="s">
        <v>575</v>
      </c>
      <c r="G24" s="13" t="s">
        <v>104</v>
      </c>
      <c r="H24" s="13" t="s">
        <v>105</v>
      </c>
      <c r="I24" s="13"/>
      <c r="J24" s="13"/>
      <c r="K24" s="13"/>
      <c r="L24" s="13"/>
      <c r="M24" s="14">
        <v>2013</v>
      </c>
      <c r="N24" s="14"/>
      <c r="O24" s="39"/>
    </row>
    <row r="25" spans="1:15" ht="25.2" customHeight="1" x14ac:dyDescent="0.3">
      <c r="A25" s="38" t="s">
        <v>106</v>
      </c>
      <c r="B25" s="14" t="s">
        <v>107</v>
      </c>
      <c r="C25" s="14" t="s">
        <v>53</v>
      </c>
      <c r="D25" s="14">
        <v>63.42</v>
      </c>
      <c r="E25" s="14">
        <v>63.42</v>
      </c>
      <c r="F25" s="5" t="s">
        <v>575</v>
      </c>
      <c r="G25" s="13" t="s">
        <v>104</v>
      </c>
      <c r="H25" s="13" t="s">
        <v>108</v>
      </c>
      <c r="I25" s="13"/>
      <c r="J25" s="13"/>
      <c r="K25" s="13"/>
      <c r="L25" s="13"/>
      <c r="M25" s="14">
        <v>2023</v>
      </c>
      <c r="N25" s="14"/>
      <c r="O25" s="39"/>
    </row>
    <row r="26" spans="1:15" ht="25.2" customHeight="1" x14ac:dyDescent="0.3">
      <c r="A26" s="38" t="s">
        <v>109</v>
      </c>
      <c r="B26" s="14" t="s">
        <v>110</v>
      </c>
      <c r="C26" s="14" t="s">
        <v>53</v>
      </c>
      <c r="D26" s="14">
        <v>37.875999999999998</v>
      </c>
      <c r="E26" s="14">
        <v>37.875999999999998</v>
      </c>
      <c r="F26" s="5" t="s">
        <v>575</v>
      </c>
      <c r="G26" s="13" t="s">
        <v>111</v>
      </c>
      <c r="H26" s="13" t="s">
        <v>112</v>
      </c>
      <c r="I26" s="13"/>
      <c r="J26" s="13"/>
      <c r="K26" s="13"/>
      <c r="L26" s="13"/>
      <c r="M26" s="14">
        <v>2020</v>
      </c>
      <c r="N26" s="14"/>
      <c r="O26" s="39"/>
    </row>
    <row r="27" spans="1:15" ht="25.2" customHeight="1" x14ac:dyDescent="0.3">
      <c r="A27" s="38" t="s">
        <v>113</v>
      </c>
      <c r="B27" s="14" t="s">
        <v>114</v>
      </c>
      <c r="C27" s="14" t="s">
        <v>53</v>
      </c>
      <c r="D27" s="14">
        <v>85</v>
      </c>
      <c r="E27" s="14">
        <v>85</v>
      </c>
      <c r="F27" s="5" t="s">
        <v>575</v>
      </c>
      <c r="G27" s="13" t="s">
        <v>115</v>
      </c>
      <c r="H27" s="13" t="s">
        <v>116</v>
      </c>
      <c r="I27" s="13"/>
      <c r="J27" s="13"/>
      <c r="K27" s="13"/>
      <c r="L27" s="13"/>
      <c r="M27" s="14">
        <v>2015</v>
      </c>
      <c r="N27" s="14"/>
      <c r="O27" s="39"/>
    </row>
    <row r="28" spans="1:15" ht="25.2" customHeight="1" x14ac:dyDescent="0.3">
      <c r="A28" s="38" t="s">
        <v>117</v>
      </c>
      <c r="B28" s="14" t="s">
        <v>118</v>
      </c>
      <c r="C28" s="14" t="s">
        <v>53</v>
      </c>
      <c r="D28" s="14">
        <v>20.5</v>
      </c>
      <c r="E28" s="14">
        <v>20.5</v>
      </c>
      <c r="F28" s="5" t="s">
        <v>575</v>
      </c>
      <c r="G28" s="13" t="s">
        <v>119</v>
      </c>
      <c r="H28" s="13" t="s">
        <v>120</v>
      </c>
      <c r="I28" s="13"/>
      <c r="J28" s="13"/>
      <c r="K28" s="13"/>
      <c r="L28" s="13"/>
      <c r="M28" s="14">
        <v>2015</v>
      </c>
      <c r="N28" s="14"/>
      <c r="O28" s="39"/>
    </row>
    <row r="29" spans="1:15" ht="25.2" customHeight="1" x14ac:dyDescent="0.3">
      <c r="A29" s="38" t="s">
        <v>121</v>
      </c>
      <c r="B29" s="14" t="s">
        <v>122</v>
      </c>
      <c r="C29" s="14" t="s">
        <v>53</v>
      </c>
      <c r="D29" s="14">
        <v>18</v>
      </c>
      <c r="E29" s="14">
        <v>18</v>
      </c>
      <c r="F29" s="5" t="s">
        <v>575</v>
      </c>
      <c r="G29" s="13" t="s">
        <v>123</v>
      </c>
      <c r="H29" s="13" t="s">
        <v>124</v>
      </c>
      <c r="I29" s="13"/>
      <c r="J29" s="13"/>
      <c r="K29" s="13"/>
      <c r="L29" s="13"/>
      <c r="M29" s="14">
        <v>2021</v>
      </c>
      <c r="N29" s="14"/>
      <c r="O29" s="39"/>
    </row>
    <row r="30" spans="1:15" ht="25.2" customHeight="1" x14ac:dyDescent="0.3">
      <c r="A30" s="38" t="s">
        <v>125</v>
      </c>
      <c r="B30" s="14" t="s">
        <v>126</v>
      </c>
      <c r="C30" s="14" t="s">
        <v>53</v>
      </c>
      <c r="D30" s="14">
        <v>52</v>
      </c>
      <c r="E30" s="14">
        <v>52</v>
      </c>
      <c r="F30" s="5" t="s">
        <v>575</v>
      </c>
      <c r="G30" s="13" t="s">
        <v>43</v>
      </c>
      <c r="H30" s="4" t="s">
        <v>119</v>
      </c>
      <c r="I30" s="13"/>
      <c r="J30" s="13"/>
      <c r="K30" s="13"/>
      <c r="L30" s="13"/>
      <c r="M30" s="14">
        <v>2018</v>
      </c>
      <c r="N30" s="14"/>
      <c r="O30" s="39"/>
    </row>
    <row r="31" spans="1:15" ht="25.2" customHeight="1" x14ac:dyDescent="0.3">
      <c r="A31" s="38" t="s">
        <v>127</v>
      </c>
      <c r="B31" s="14" t="s">
        <v>128</v>
      </c>
      <c r="C31" s="14" t="s">
        <v>53</v>
      </c>
      <c r="D31" s="14">
        <v>79.400000000000006</v>
      </c>
      <c r="E31" s="14">
        <v>79.400000000000006</v>
      </c>
      <c r="F31" s="5" t="s">
        <v>575</v>
      </c>
      <c r="G31" s="13" t="s">
        <v>129</v>
      </c>
      <c r="H31" s="13" t="s">
        <v>46</v>
      </c>
      <c r="I31" s="13"/>
      <c r="J31" s="13"/>
      <c r="K31" s="13"/>
      <c r="L31" s="13"/>
      <c r="M31" s="14">
        <v>2015</v>
      </c>
      <c r="N31" s="14"/>
      <c r="O31" s="39"/>
    </row>
    <row r="32" spans="1:15" ht="25.2" customHeight="1" x14ac:dyDescent="0.3">
      <c r="A32" s="38" t="s">
        <v>130</v>
      </c>
      <c r="B32" s="14" t="s">
        <v>131</v>
      </c>
      <c r="C32" s="14" t="s">
        <v>53</v>
      </c>
      <c r="D32" s="14">
        <v>27</v>
      </c>
      <c r="E32" s="14">
        <v>27</v>
      </c>
      <c r="F32" s="5" t="s">
        <v>575</v>
      </c>
      <c r="G32" s="13" t="s">
        <v>132</v>
      </c>
      <c r="H32" s="13" t="s">
        <v>133</v>
      </c>
      <c r="I32" s="13"/>
      <c r="J32" s="13"/>
      <c r="K32" s="13"/>
      <c r="L32" s="13"/>
      <c r="M32" s="14">
        <v>2011</v>
      </c>
      <c r="N32" s="14"/>
      <c r="O32" s="39"/>
    </row>
    <row r="33" spans="1:15" ht="25.2" customHeight="1" x14ac:dyDescent="0.3">
      <c r="A33" s="38" t="s">
        <v>134</v>
      </c>
      <c r="B33" s="14" t="s">
        <v>135</v>
      </c>
      <c r="C33" s="14" t="s">
        <v>53</v>
      </c>
      <c r="D33" s="14">
        <v>34</v>
      </c>
      <c r="E33" s="14">
        <v>34</v>
      </c>
      <c r="F33" s="5" t="s">
        <v>575</v>
      </c>
      <c r="G33" s="13" t="s">
        <v>43</v>
      </c>
      <c r="H33" s="13" t="s">
        <v>136</v>
      </c>
      <c r="I33" s="13"/>
      <c r="J33" s="13"/>
      <c r="K33" s="13"/>
      <c r="L33" s="13"/>
      <c r="M33" s="14">
        <v>2017</v>
      </c>
      <c r="N33" s="14"/>
      <c r="O33" s="39"/>
    </row>
    <row r="34" spans="1:15" ht="25.2" customHeight="1" x14ac:dyDescent="0.3">
      <c r="A34" s="38" t="s">
        <v>137</v>
      </c>
      <c r="B34" s="14" t="s">
        <v>138</v>
      </c>
      <c r="C34" s="14" t="s">
        <v>53</v>
      </c>
      <c r="D34" s="14">
        <v>26</v>
      </c>
      <c r="E34" s="14">
        <v>26</v>
      </c>
      <c r="F34" s="5" t="s">
        <v>575</v>
      </c>
      <c r="G34" s="13" t="s">
        <v>139</v>
      </c>
      <c r="H34" s="13" t="s">
        <v>140</v>
      </c>
      <c r="I34" s="13"/>
      <c r="J34" s="13"/>
      <c r="K34" s="13"/>
      <c r="L34" s="13"/>
      <c r="M34" s="14"/>
      <c r="N34" s="14"/>
      <c r="O34" s="39"/>
    </row>
    <row r="35" spans="1:15" ht="25.2" customHeight="1" x14ac:dyDescent="0.3">
      <c r="A35" s="38" t="s">
        <v>141</v>
      </c>
      <c r="B35" s="14" t="s">
        <v>142</v>
      </c>
      <c r="C35" s="14" t="s">
        <v>53</v>
      </c>
      <c r="D35" s="14">
        <v>33</v>
      </c>
      <c r="E35" s="14">
        <v>33</v>
      </c>
      <c r="F35" s="5" t="s">
        <v>575</v>
      </c>
      <c r="G35" s="13" t="s">
        <v>143</v>
      </c>
      <c r="H35" s="13" t="s">
        <v>144</v>
      </c>
      <c r="I35" s="13"/>
      <c r="J35" s="13"/>
      <c r="K35" s="13"/>
      <c r="L35" s="13"/>
      <c r="M35" s="14">
        <v>2016</v>
      </c>
      <c r="N35" s="14"/>
      <c r="O35" s="39"/>
    </row>
    <row r="36" spans="1:15" ht="25.2" customHeight="1" x14ac:dyDescent="0.3">
      <c r="A36" s="38" t="s">
        <v>145</v>
      </c>
      <c r="B36" s="14" t="s">
        <v>146</v>
      </c>
      <c r="C36" s="14" t="s">
        <v>53</v>
      </c>
      <c r="D36" s="14">
        <v>52</v>
      </c>
      <c r="E36" s="14">
        <v>52</v>
      </c>
      <c r="F36" s="5" t="s">
        <v>575</v>
      </c>
      <c r="G36" s="13" t="s">
        <v>147</v>
      </c>
      <c r="H36" s="13" t="s">
        <v>148</v>
      </c>
      <c r="I36" s="13"/>
      <c r="J36" s="13"/>
      <c r="K36" s="13"/>
      <c r="L36" s="13"/>
      <c r="M36" s="14">
        <v>2018</v>
      </c>
      <c r="N36" s="14"/>
      <c r="O36" s="39"/>
    </row>
    <row r="37" spans="1:15" ht="25.2" customHeight="1" x14ac:dyDescent="0.3">
      <c r="A37" s="38" t="s">
        <v>149</v>
      </c>
      <c r="B37" s="14" t="s">
        <v>150</v>
      </c>
      <c r="C37" s="14" t="s">
        <v>53</v>
      </c>
      <c r="D37" s="14">
        <v>19.5</v>
      </c>
      <c r="E37" s="14">
        <v>19.5</v>
      </c>
      <c r="F37" s="5" t="s">
        <v>575</v>
      </c>
      <c r="G37" s="13" t="s">
        <v>151</v>
      </c>
      <c r="H37" s="13" t="s">
        <v>152</v>
      </c>
      <c r="I37" s="13"/>
      <c r="J37" s="13"/>
      <c r="K37" s="13"/>
      <c r="L37" s="13"/>
      <c r="M37" s="14">
        <v>2013</v>
      </c>
      <c r="N37" s="14"/>
      <c r="O37" s="39"/>
    </row>
    <row r="38" spans="1:15" ht="25.2" customHeight="1" x14ac:dyDescent="0.3">
      <c r="A38" s="38" t="s">
        <v>153</v>
      </c>
      <c r="B38" s="14" t="s">
        <v>154</v>
      </c>
      <c r="C38" s="14" t="s">
        <v>155</v>
      </c>
      <c r="D38" s="14">
        <v>16</v>
      </c>
      <c r="E38" s="14">
        <v>16</v>
      </c>
      <c r="F38" s="14"/>
      <c r="G38" s="13" t="s">
        <v>156</v>
      </c>
      <c r="H38" s="13" t="s">
        <v>157</v>
      </c>
      <c r="I38" s="13"/>
      <c r="J38" s="13"/>
      <c r="K38" s="13"/>
      <c r="L38" s="13"/>
      <c r="M38" s="14"/>
      <c r="N38" s="14"/>
      <c r="O38" s="39"/>
    </row>
    <row r="39" spans="1:15" ht="25.2" customHeight="1" x14ac:dyDescent="0.3">
      <c r="A39" s="38" t="s">
        <v>158</v>
      </c>
      <c r="B39" s="14" t="s">
        <v>159</v>
      </c>
      <c r="C39" s="14" t="s">
        <v>155</v>
      </c>
      <c r="D39" s="14">
        <v>17.088999999999999</v>
      </c>
      <c r="E39" s="14">
        <v>17.088999999999999</v>
      </c>
      <c r="F39" s="14"/>
      <c r="G39" s="13" t="s">
        <v>160</v>
      </c>
      <c r="H39" s="13" t="s">
        <v>161</v>
      </c>
      <c r="I39" s="13"/>
      <c r="J39" s="13"/>
      <c r="K39" s="13"/>
      <c r="L39" s="13"/>
      <c r="M39" s="14"/>
      <c r="N39" s="14"/>
      <c r="O39" s="39"/>
    </row>
    <row r="40" spans="1:15" ht="25.2" customHeight="1" x14ac:dyDescent="0.3">
      <c r="A40" s="38" t="s">
        <v>162</v>
      </c>
      <c r="B40" s="14" t="s">
        <v>163</v>
      </c>
      <c r="C40" s="14" t="s">
        <v>155</v>
      </c>
      <c r="D40" s="14">
        <v>11.3</v>
      </c>
      <c r="E40" s="14">
        <v>11.3</v>
      </c>
      <c r="F40" s="14"/>
      <c r="G40" s="13" t="s">
        <v>164</v>
      </c>
      <c r="H40" s="13" t="s">
        <v>165</v>
      </c>
      <c r="I40" s="13"/>
      <c r="J40" s="13"/>
      <c r="K40" s="13"/>
      <c r="L40" s="13"/>
      <c r="M40" s="14"/>
      <c r="N40" s="14"/>
      <c r="O40" s="39"/>
    </row>
    <row r="41" spans="1:15" ht="25.2" customHeight="1" x14ac:dyDescent="0.3">
      <c r="A41" s="38" t="s">
        <v>166</v>
      </c>
      <c r="B41" s="14" t="s">
        <v>167</v>
      </c>
      <c r="C41" s="14" t="s">
        <v>155</v>
      </c>
      <c r="D41" s="14">
        <v>2.2200000000000002</v>
      </c>
      <c r="E41" s="14">
        <v>2.2200000000000002</v>
      </c>
      <c r="F41" s="14"/>
      <c r="G41" s="13" t="s">
        <v>168</v>
      </c>
      <c r="H41" s="13"/>
      <c r="I41" s="13"/>
      <c r="J41" s="13"/>
      <c r="K41" s="13"/>
      <c r="L41" s="13"/>
      <c r="M41" s="14"/>
      <c r="N41" s="14"/>
      <c r="O41" s="39"/>
    </row>
    <row r="42" spans="1:15" ht="25.2" customHeight="1" x14ac:dyDescent="0.3">
      <c r="A42" s="38" t="s">
        <v>169</v>
      </c>
      <c r="B42" s="14" t="s">
        <v>170</v>
      </c>
      <c r="C42" s="14" t="s">
        <v>155</v>
      </c>
      <c r="D42" s="14">
        <v>8</v>
      </c>
      <c r="E42" s="14">
        <v>8</v>
      </c>
      <c r="F42" s="14"/>
      <c r="G42" s="13" t="s">
        <v>171</v>
      </c>
      <c r="H42" s="13" t="s">
        <v>171</v>
      </c>
      <c r="I42" s="13"/>
      <c r="J42" s="13"/>
      <c r="K42" s="13"/>
      <c r="L42" s="13"/>
      <c r="M42" s="14"/>
      <c r="N42" s="14"/>
      <c r="O42" s="39"/>
    </row>
    <row r="43" spans="1:15" ht="25.2" customHeight="1" x14ac:dyDescent="0.3">
      <c r="A43" s="38" t="s">
        <v>172</v>
      </c>
      <c r="B43" s="14" t="s">
        <v>173</v>
      </c>
      <c r="C43" s="14" t="s">
        <v>155</v>
      </c>
      <c r="D43" s="14">
        <v>5.6</v>
      </c>
      <c r="E43" s="14">
        <v>5.6</v>
      </c>
      <c r="F43" s="14"/>
      <c r="G43" s="13" t="s">
        <v>174</v>
      </c>
      <c r="H43" s="13" t="s">
        <v>175</v>
      </c>
      <c r="I43" s="13"/>
      <c r="J43" s="13"/>
      <c r="K43" s="13"/>
      <c r="L43" s="13"/>
      <c r="M43" s="14"/>
      <c r="N43" s="14"/>
      <c r="O43" s="39"/>
    </row>
    <row r="44" spans="1:15" ht="25.2" customHeight="1" x14ac:dyDescent="0.3">
      <c r="A44" s="38" t="s">
        <v>176</v>
      </c>
      <c r="B44" s="14" t="s">
        <v>177</v>
      </c>
      <c r="C44" s="14" t="s">
        <v>155</v>
      </c>
      <c r="D44" s="14">
        <v>10.97</v>
      </c>
      <c r="E44" s="14">
        <v>10.97</v>
      </c>
      <c r="F44" s="14"/>
      <c r="G44" s="13" t="s">
        <v>174</v>
      </c>
      <c r="H44" s="13" t="s">
        <v>178</v>
      </c>
      <c r="I44" s="13"/>
      <c r="J44" s="13"/>
      <c r="K44" s="13"/>
      <c r="L44" s="13"/>
      <c r="M44" s="14"/>
      <c r="N44" s="14"/>
      <c r="O44" s="39"/>
    </row>
    <row r="45" spans="1:15" ht="25.2" customHeight="1" x14ac:dyDescent="0.3">
      <c r="A45" s="38" t="s">
        <v>179</v>
      </c>
      <c r="B45" s="14" t="s">
        <v>180</v>
      </c>
      <c r="C45" s="14" t="s">
        <v>155</v>
      </c>
      <c r="D45" s="14">
        <v>7.3</v>
      </c>
      <c r="E45" s="14">
        <v>7.3</v>
      </c>
      <c r="F45" s="14"/>
      <c r="G45" s="13" t="s">
        <v>178</v>
      </c>
      <c r="H45" s="13" t="s">
        <v>181</v>
      </c>
      <c r="I45" s="13"/>
      <c r="J45" s="13"/>
      <c r="K45" s="13"/>
      <c r="L45" s="13"/>
      <c r="M45" s="14"/>
      <c r="N45" s="14"/>
      <c r="O45" s="39"/>
    </row>
    <row r="46" spans="1:15" ht="25.2" customHeight="1" x14ac:dyDescent="0.3">
      <c r="A46" s="38" t="s">
        <v>182</v>
      </c>
      <c r="B46" s="14" t="s">
        <v>183</v>
      </c>
      <c r="C46" s="14" t="s">
        <v>155</v>
      </c>
      <c r="D46" s="14">
        <v>1.9</v>
      </c>
      <c r="E46" s="14">
        <v>1.9</v>
      </c>
      <c r="F46" s="14"/>
      <c r="G46" s="13"/>
      <c r="H46" s="13"/>
      <c r="I46" s="13"/>
      <c r="J46" s="13"/>
      <c r="K46" s="13"/>
      <c r="L46" s="13"/>
      <c r="M46" s="14"/>
      <c r="N46" s="14"/>
      <c r="O46" s="39"/>
    </row>
    <row r="47" spans="1:15" ht="25.2" customHeight="1" x14ac:dyDescent="0.3">
      <c r="A47" s="38" t="s">
        <v>184</v>
      </c>
      <c r="B47" s="14" t="s">
        <v>185</v>
      </c>
      <c r="C47" s="14" t="s">
        <v>155</v>
      </c>
      <c r="D47" s="14">
        <v>4.0999999999999996</v>
      </c>
      <c r="E47" s="14">
        <v>4.0999999999999996</v>
      </c>
      <c r="F47" s="14"/>
      <c r="G47" s="13"/>
      <c r="H47" s="13"/>
      <c r="I47" s="13"/>
      <c r="J47" s="13"/>
      <c r="K47" s="13"/>
      <c r="L47" s="13"/>
      <c r="M47" s="14"/>
      <c r="N47" s="14"/>
      <c r="O47" s="39"/>
    </row>
    <row r="48" spans="1:15" ht="25.2" customHeight="1" x14ac:dyDescent="0.3">
      <c r="A48" s="38" t="s">
        <v>186</v>
      </c>
      <c r="B48" s="14" t="s">
        <v>187</v>
      </c>
      <c r="C48" s="14" t="s">
        <v>155</v>
      </c>
      <c r="D48" s="14">
        <v>15.3</v>
      </c>
      <c r="E48" s="14">
        <v>15.3</v>
      </c>
      <c r="F48" s="14"/>
      <c r="G48" s="13" t="s">
        <v>188</v>
      </c>
      <c r="H48" s="13" t="s">
        <v>178</v>
      </c>
      <c r="I48" s="13"/>
      <c r="J48" s="13"/>
      <c r="K48" s="13"/>
      <c r="L48" s="13"/>
      <c r="M48" s="14"/>
      <c r="N48" s="14"/>
      <c r="O48" s="39"/>
    </row>
    <row r="49" spans="1:15" ht="25.2" customHeight="1" x14ac:dyDescent="0.3">
      <c r="A49" s="38" t="s">
        <v>189</v>
      </c>
      <c r="B49" s="14" t="s">
        <v>190</v>
      </c>
      <c r="C49" s="14" t="s">
        <v>155</v>
      </c>
      <c r="D49" s="14">
        <v>49.116999999999997</v>
      </c>
      <c r="E49" s="14">
        <v>49.116999999999997</v>
      </c>
      <c r="F49" s="14"/>
      <c r="G49" s="13" t="s">
        <v>164</v>
      </c>
      <c r="H49" s="13" t="s">
        <v>156</v>
      </c>
      <c r="I49" s="13"/>
      <c r="J49" s="13"/>
      <c r="K49" s="13"/>
      <c r="L49" s="13"/>
      <c r="M49" s="14"/>
      <c r="N49" s="14"/>
      <c r="O49" s="39"/>
    </row>
    <row r="50" spans="1:15" ht="25.2" customHeight="1" x14ac:dyDescent="0.3">
      <c r="A50" s="43" t="s">
        <v>191</v>
      </c>
      <c r="B50" s="44" t="s">
        <v>192</v>
      </c>
      <c r="C50" s="44" t="s">
        <v>155</v>
      </c>
      <c r="D50" s="44">
        <v>7.51</v>
      </c>
      <c r="E50" s="44">
        <v>7.51</v>
      </c>
      <c r="F50" s="44"/>
      <c r="G50" s="45"/>
      <c r="H50" s="45"/>
      <c r="I50" s="45"/>
      <c r="J50" s="45"/>
      <c r="K50" s="45"/>
      <c r="L50" s="45"/>
      <c r="M50" s="44"/>
      <c r="N50" s="44"/>
      <c r="O50" s="46"/>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8"/>
  <sheetViews>
    <sheetView zoomScale="85" zoomScaleNormal="85" workbookViewId="0">
      <pane ySplit="1" topLeftCell="A114" activePane="bottomLeft" state="frozen"/>
      <selection pane="bottomLeft" activeCell="J130" sqref="J130"/>
    </sheetView>
  </sheetViews>
  <sheetFormatPr defaultRowHeight="13.2" x14ac:dyDescent="0.25"/>
  <cols>
    <col min="1" max="1" width="12.77734375" style="3" bestFit="1" customWidth="1"/>
    <col min="2" max="2" width="11.109375" style="3" customWidth="1"/>
    <col min="3" max="3" width="13.21875" style="3" customWidth="1"/>
    <col min="4" max="4" width="18.109375" style="3" customWidth="1"/>
    <col min="5" max="5" width="18.5546875" style="3" customWidth="1"/>
    <col min="6" max="6" width="14.44140625" style="3" bestFit="1" customWidth="1"/>
    <col min="7" max="7" width="17.109375" style="3" customWidth="1"/>
    <col min="8" max="8" width="14.109375" style="3" customWidth="1"/>
    <col min="9" max="9" width="18.88671875" style="3" customWidth="1"/>
    <col min="10" max="10" width="19.5546875" style="3" customWidth="1"/>
    <col min="11" max="11" width="18.77734375" style="3" customWidth="1"/>
    <col min="12" max="13" width="19.33203125" style="3" customWidth="1"/>
    <col min="14" max="14" width="111.21875" style="2" bestFit="1" customWidth="1"/>
    <col min="15" max="16384" width="8.88671875" style="2"/>
  </cols>
  <sheetData>
    <row r="1" spans="1:14" ht="49.2" customHeight="1" x14ac:dyDescent="0.25">
      <c r="A1" s="72" t="s">
        <v>193</v>
      </c>
      <c r="B1" s="73" t="s">
        <v>0</v>
      </c>
      <c r="C1" s="73" t="s">
        <v>194</v>
      </c>
      <c r="D1" s="73" t="s">
        <v>195</v>
      </c>
      <c r="E1" s="73" t="s">
        <v>196</v>
      </c>
      <c r="F1" s="73" t="s">
        <v>513</v>
      </c>
      <c r="G1" s="73" t="s">
        <v>4</v>
      </c>
      <c r="H1" s="74" t="s">
        <v>651</v>
      </c>
      <c r="I1" s="73" t="s">
        <v>197</v>
      </c>
      <c r="J1" s="73" t="s">
        <v>198</v>
      </c>
      <c r="K1" s="73" t="s">
        <v>199</v>
      </c>
      <c r="L1" s="73" t="s">
        <v>200</v>
      </c>
      <c r="M1" s="75" t="s">
        <v>201</v>
      </c>
      <c r="N1" s="76" t="s">
        <v>14</v>
      </c>
    </row>
    <row r="2" spans="1:14" s="103" customFormat="1" ht="21.6" customHeight="1" x14ac:dyDescent="0.25">
      <c r="A2" s="98" t="s">
        <v>202</v>
      </c>
      <c r="B2" s="99" t="s">
        <v>15</v>
      </c>
      <c r="C2" s="99" t="s">
        <v>203</v>
      </c>
      <c r="D2" s="99">
        <v>190</v>
      </c>
      <c r="E2" s="99">
        <v>194</v>
      </c>
      <c r="F2" s="100" t="s">
        <v>514</v>
      </c>
      <c r="G2" s="101">
        <v>4</v>
      </c>
      <c r="H2" s="101" t="s">
        <v>629</v>
      </c>
      <c r="I2" s="99">
        <v>10.5</v>
      </c>
      <c r="J2" s="99">
        <v>10.5</v>
      </c>
      <c r="K2" s="99"/>
      <c r="L2" s="99"/>
      <c r="M2" s="99" t="s">
        <v>652</v>
      </c>
      <c r="N2" s="102" t="s">
        <v>204</v>
      </c>
    </row>
    <row r="3" spans="1:14" s="103" customFormat="1" ht="21.6" customHeight="1" x14ac:dyDescent="0.25">
      <c r="A3" s="98" t="s">
        <v>205</v>
      </c>
      <c r="B3" s="99" t="s">
        <v>15</v>
      </c>
      <c r="C3" s="99" t="s">
        <v>206</v>
      </c>
      <c r="D3" s="99">
        <v>194</v>
      </c>
      <c r="E3" s="99">
        <v>250.8</v>
      </c>
      <c r="F3" s="100" t="s">
        <v>514</v>
      </c>
      <c r="G3" s="101">
        <v>56.8</v>
      </c>
      <c r="H3" s="101" t="s">
        <v>629</v>
      </c>
      <c r="I3" s="99">
        <v>6.5</v>
      </c>
      <c r="J3" s="99">
        <v>7.5</v>
      </c>
      <c r="K3" s="99"/>
      <c r="L3" s="99"/>
      <c r="M3" s="99"/>
      <c r="N3" s="102" t="s">
        <v>207</v>
      </c>
    </row>
    <row r="4" spans="1:14" s="103" customFormat="1" ht="21.6" customHeight="1" x14ac:dyDescent="0.25">
      <c r="A4" s="98" t="s">
        <v>208</v>
      </c>
      <c r="B4" s="99" t="s">
        <v>15</v>
      </c>
      <c r="C4" s="99" t="s">
        <v>206</v>
      </c>
      <c r="D4" s="99">
        <v>250.8</v>
      </c>
      <c r="E4" s="99">
        <v>255</v>
      </c>
      <c r="F4" s="100" t="s">
        <v>514</v>
      </c>
      <c r="G4" s="101">
        <v>4.2</v>
      </c>
      <c r="H4" s="101" t="s">
        <v>629</v>
      </c>
      <c r="I4" s="99">
        <v>5</v>
      </c>
      <c r="J4" s="99">
        <v>5</v>
      </c>
      <c r="K4" s="99"/>
      <c r="L4" s="99"/>
      <c r="M4" s="99"/>
      <c r="N4" s="102" t="s">
        <v>209</v>
      </c>
    </row>
    <row r="5" spans="1:14" s="103" customFormat="1" ht="21.6" customHeight="1" x14ac:dyDescent="0.25">
      <c r="A5" s="98" t="s">
        <v>210</v>
      </c>
      <c r="B5" s="99" t="s">
        <v>15</v>
      </c>
      <c r="C5" s="99" t="s">
        <v>206</v>
      </c>
      <c r="D5" s="99">
        <v>255</v>
      </c>
      <c r="E5" s="99">
        <v>272</v>
      </c>
      <c r="F5" s="100" t="s">
        <v>514</v>
      </c>
      <c r="G5" s="101">
        <v>17</v>
      </c>
      <c r="H5" s="101" t="s">
        <v>629</v>
      </c>
      <c r="I5" s="99">
        <v>6.5</v>
      </c>
      <c r="J5" s="99">
        <v>7.5</v>
      </c>
      <c r="K5" s="99"/>
      <c r="L5" s="99"/>
      <c r="M5" s="99"/>
      <c r="N5" s="102" t="s">
        <v>207</v>
      </c>
    </row>
    <row r="6" spans="1:14" s="103" customFormat="1" ht="21.6" customHeight="1" x14ac:dyDescent="0.25">
      <c r="A6" s="98" t="s">
        <v>211</v>
      </c>
      <c r="B6" s="99" t="s">
        <v>15</v>
      </c>
      <c r="C6" s="99" t="s">
        <v>206</v>
      </c>
      <c r="D6" s="99">
        <v>272</v>
      </c>
      <c r="E6" s="99">
        <v>286.39999999999998</v>
      </c>
      <c r="F6" s="100" t="s">
        <v>514</v>
      </c>
      <c r="G6" s="101">
        <v>14.4</v>
      </c>
      <c r="H6" s="101" t="s">
        <v>635</v>
      </c>
      <c r="I6" s="99">
        <v>6.5</v>
      </c>
      <c r="J6" s="99">
        <v>6.5</v>
      </c>
      <c r="K6" s="99"/>
      <c r="L6" s="99"/>
      <c r="M6" s="99"/>
      <c r="N6" s="102" t="s">
        <v>212</v>
      </c>
    </row>
    <row r="7" spans="1:14" ht="21.6" customHeight="1" x14ac:dyDescent="0.25">
      <c r="A7" s="68" t="s">
        <v>213</v>
      </c>
      <c r="B7" s="5" t="s">
        <v>20</v>
      </c>
      <c r="C7" s="5" t="s">
        <v>203</v>
      </c>
      <c r="D7" s="5">
        <v>89</v>
      </c>
      <c r="E7" s="5">
        <v>104</v>
      </c>
      <c r="F7" s="1" t="s">
        <v>514</v>
      </c>
      <c r="G7" s="6">
        <v>15</v>
      </c>
      <c r="H7" s="6"/>
      <c r="I7" s="5">
        <v>6.5</v>
      </c>
      <c r="J7" s="5">
        <v>6.5</v>
      </c>
      <c r="K7" s="5"/>
      <c r="L7" s="5"/>
      <c r="M7" s="5"/>
      <c r="N7" s="70" t="s">
        <v>214</v>
      </c>
    </row>
    <row r="8" spans="1:14" ht="21.6" customHeight="1" x14ac:dyDescent="0.25">
      <c r="A8" s="68" t="s">
        <v>215</v>
      </c>
      <c r="B8" s="5" t="s">
        <v>20</v>
      </c>
      <c r="C8" s="5" t="s">
        <v>216</v>
      </c>
      <c r="D8" s="5">
        <v>104</v>
      </c>
      <c r="E8" s="5">
        <v>105</v>
      </c>
      <c r="F8" s="1" t="s">
        <v>514</v>
      </c>
      <c r="G8" s="6">
        <v>1</v>
      </c>
      <c r="H8" s="6"/>
      <c r="I8" s="5">
        <v>12</v>
      </c>
      <c r="J8" s="5">
        <v>12</v>
      </c>
      <c r="K8" s="5"/>
      <c r="L8" s="5"/>
      <c r="M8" s="5"/>
      <c r="N8" s="70" t="s">
        <v>217</v>
      </c>
    </row>
    <row r="9" spans="1:14" ht="21.6" customHeight="1" x14ac:dyDescent="0.25">
      <c r="A9" s="68" t="s">
        <v>218</v>
      </c>
      <c r="B9" s="5" t="s">
        <v>20</v>
      </c>
      <c r="C9" s="5" t="s">
        <v>203</v>
      </c>
      <c r="D9" s="5">
        <v>105</v>
      </c>
      <c r="E9" s="5">
        <v>137</v>
      </c>
      <c r="F9" s="1" t="s">
        <v>514</v>
      </c>
      <c r="G9" s="6">
        <v>32</v>
      </c>
      <c r="H9" s="6"/>
      <c r="I9" s="5">
        <v>6.5</v>
      </c>
      <c r="J9" s="5">
        <v>6.5</v>
      </c>
      <c r="K9" s="5"/>
      <c r="L9" s="5"/>
      <c r="M9" s="5"/>
      <c r="N9" s="70" t="s">
        <v>214</v>
      </c>
    </row>
    <row r="10" spans="1:14" ht="21.6" customHeight="1" x14ac:dyDescent="0.25">
      <c r="A10" s="68" t="s">
        <v>219</v>
      </c>
      <c r="B10" s="5" t="s">
        <v>20</v>
      </c>
      <c r="C10" s="5" t="s">
        <v>216</v>
      </c>
      <c r="D10" s="5">
        <v>137</v>
      </c>
      <c r="E10" s="5">
        <v>140.893</v>
      </c>
      <c r="F10" s="1" t="s">
        <v>514</v>
      </c>
      <c r="G10" s="6">
        <v>3.89</v>
      </c>
      <c r="H10" s="6"/>
      <c r="I10" s="5">
        <v>12</v>
      </c>
      <c r="J10" s="5">
        <v>12</v>
      </c>
      <c r="K10" s="5"/>
      <c r="L10" s="5"/>
      <c r="M10" s="5"/>
      <c r="N10" s="70" t="s">
        <v>217</v>
      </c>
    </row>
    <row r="11" spans="1:14" ht="21.6" customHeight="1" x14ac:dyDescent="0.25">
      <c r="A11" s="68" t="s">
        <v>220</v>
      </c>
      <c r="B11" s="5" t="s">
        <v>20</v>
      </c>
      <c r="C11" s="5" t="s">
        <v>206</v>
      </c>
      <c r="D11" s="5">
        <v>149</v>
      </c>
      <c r="E11" s="5">
        <v>200</v>
      </c>
      <c r="F11" s="1" t="s">
        <v>514</v>
      </c>
      <c r="G11" s="6">
        <v>51.21</v>
      </c>
      <c r="H11" s="6"/>
      <c r="I11" s="5">
        <v>5.5</v>
      </c>
      <c r="J11" s="5">
        <v>5.5</v>
      </c>
      <c r="K11" s="5"/>
      <c r="L11" s="5"/>
      <c r="M11" s="5"/>
      <c r="N11" s="70" t="s">
        <v>221</v>
      </c>
    </row>
    <row r="12" spans="1:14" ht="21.6" customHeight="1" x14ac:dyDescent="0.25">
      <c r="A12" s="68" t="s">
        <v>222</v>
      </c>
      <c r="B12" s="5" t="s">
        <v>24</v>
      </c>
      <c r="C12" s="5" t="s">
        <v>203</v>
      </c>
      <c r="D12" s="5">
        <v>0</v>
      </c>
      <c r="E12" s="5">
        <v>3</v>
      </c>
      <c r="F12" s="1" t="s">
        <v>515</v>
      </c>
      <c r="G12" s="7">
        <v>3</v>
      </c>
      <c r="H12" s="7"/>
      <c r="I12" s="5"/>
      <c r="J12" s="5"/>
      <c r="K12" s="5"/>
      <c r="L12" s="5"/>
      <c r="M12" s="5"/>
      <c r="N12" s="70" t="s">
        <v>333</v>
      </c>
    </row>
    <row r="13" spans="1:14" ht="21.6" customHeight="1" x14ac:dyDescent="0.25">
      <c r="A13" s="68" t="s">
        <v>224</v>
      </c>
      <c r="B13" s="5" t="s">
        <v>24</v>
      </c>
      <c r="C13" s="5" t="s">
        <v>203</v>
      </c>
      <c r="D13" s="5">
        <v>3</v>
      </c>
      <c r="E13" s="5">
        <v>3.5</v>
      </c>
      <c r="F13" s="5" t="s">
        <v>514</v>
      </c>
      <c r="G13" s="7">
        <v>0.5</v>
      </c>
      <c r="H13" s="7"/>
      <c r="I13" s="5">
        <v>6.5</v>
      </c>
      <c r="J13" s="5">
        <v>6.5</v>
      </c>
      <c r="K13" s="5"/>
      <c r="L13" s="5"/>
      <c r="M13" s="5"/>
      <c r="N13" s="70" t="s">
        <v>225</v>
      </c>
    </row>
    <row r="14" spans="1:14" ht="21.6" customHeight="1" x14ac:dyDescent="0.25">
      <c r="A14" s="68" t="s">
        <v>226</v>
      </c>
      <c r="B14" s="5" t="s">
        <v>24</v>
      </c>
      <c r="C14" s="5" t="s">
        <v>203</v>
      </c>
      <c r="D14" s="5">
        <v>3.5</v>
      </c>
      <c r="E14" s="5">
        <v>16.600000000000001</v>
      </c>
      <c r="F14" s="1" t="s">
        <v>515</v>
      </c>
      <c r="G14" s="7">
        <v>13.100000000000001</v>
      </c>
      <c r="H14" s="7"/>
      <c r="I14" s="5"/>
      <c r="J14" s="5"/>
      <c r="K14" s="5"/>
      <c r="L14" s="5"/>
      <c r="M14" s="5"/>
      <c r="N14" s="70" t="s">
        <v>333</v>
      </c>
    </row>
    <row r="15" spans="1:14" ht="21.6" customHeight="1" x14ac:dyDescent="0.25">
      <c r="A15" s="68" t="s">
        <v>227</v>
      </c>
      <c r="B15" s="5" t="s">
        <v>24</v>
      </c>
      <c r="C15" s="5" t="s">
        <v>203</v>
      </c>
      <c r="D15" s="5">
        <v>16.600000000000001</v>
      </c>
      <c r="E15" s="5">
        <v>35.6</v>
      </c>
      <c r="F15" s="5" t="s">
        <v>514</v>
      </c>
      <c r="G15" s="5">
        <v>19</v>
      </c>
      <c r="H15" s="5"/>
      <c r="I15" s="5">
        <v>6.5</v>
      </c>
      <c r="J15" s="5">
        <v>6.5</v>
      </c>
      <c r="K15" s="5"/>
      <c r="L15" s="5"/>
      <c r="M15" s="5"/>
      <c r="N15" s="70" t="s">
        <v>228</v>
      </c>
    </row>
    <row r="16" spans="1:14" ht="21.6" customHeight="1" x14ac:dyDescent="0.25">
      <c r="A16" s="68" t="s">
        <v>229</v>
      </c>
      <c r="B16" s="5" t="s">
        <v>24</v>
      </c>
      <c r="C16" s="5" t="s">
        <v>216</v>
      </c>
      <c r="D16" s="5">
        <v>36.975000000000001</v>
      </c>
      <c r="E16" s="5">
        <v>37.557000000000002</v>
      </c>
      <c r="F16" s="5" t="s">
        <v>514</v>
      </c>
      <c r="G16" s="7">
        <v>0.6</v>
      </c>
      <c r="H16" s="7"/>
      <c r="I16" s="5">
        <v>11</v>
      </c>
      <c r="J16" s="5">
        <v>11</v>
      </c>
      <c r="K16" s="5"/>
      <c r="L16" s="5"/>
      <c r="M16" s="5"/>
      <c r="N16" s="70" t="s">
        <v>230</v>
      </c>
    </row>
    <row r="17" spans="1:14" ht="21.6" customHeight="1" x14ac:dyDescent="0.25">
      <c r="A17" s="68" t="s">
        <v>231</v>
      </c>
      <c r="B17" s="5" t="s">
        <v>24</v>
      </c>
      <c r="C17" s="5" t="s">
        <v>203</v>
      </c>
      <c r="D17" s="5">
        <v>37.557000000000002</v>
      </c>
      <c r="E17" s="5">
        <v>46.356999999999999</v>
      </c>
      <c r="F17" s="5" t="s">
        <v>514</v>
      </c>
      <c r="G17" s="7">
        <v>8.8000000000000007</v>
      </c>
      <c r="H17" s="7"/>
      <c r="I17" s="5">
        <v>6.5</v>
      </c>
      <c r="J17" s="5">
        <v>6.5</v>
      </c>
      <c r="K17" s="5"/>
      <c r="L17" s="5"/>
      <c r="M17" s="5"/>
      <c r="N17" s="70" t="s">
        <v>232</v>
      </c>
    </row>
    <row r="18" spans="1:14" ht="21.6" customHeight="1" x14ac:dyDescent="0.25">
      <c r="A18" s="68" t="s">
        <v>233</v>
      </c>
      <c r="B18" s="5" t="s">
        <v>24</v>
      </c>
      <c r="C18" s="5" t="s">
        <v>216</v>
      </c>
      <c r="D18" s="5">
        <v>46.356999999999999</v>
      </c>
      <c r="E18" s="5">
        <v>48.856999999999999</v>
      </c>
      <c r="F18" s="5" t="s">
        <v>514</v>
      </c>
      <c r="G18" s="7">
        <v>2.5</v>
      </c>
      <c r="H18" s="7"/>
      <c r="I18" s="5">
        <v>11</v>
      </c>
      <c r="J18" s="5">
        <v>12</v>
      </c>
      <c r="K18" s="5"/>
      <c r="L18" s="5"/>
      <c r="M18" s="5"/>
      <c r="N18" s="70" t="s">
        <v>234</v>
      </c>
    </row>
    <row r="19" spans="1:14" ht="21.6" customHeight="1" x14ac:dyDescent="0.25">
      <c r="A19" s="68" t="s">
        <v>235</v>
      </c>
      <c r="B19" s="5" t="s">
        <v>24</v>
      </c>
      <c r="C19" s="5" t="s">
        <v>203</v>
      </c>
      <c r="D19" s="5">
        <v>48.856999999999999</v>
      </c>
      <c r="E19" s="5">
        <v>57.856999999999999</v>
      </c>
      <c r="F19" s="5" t="s">
        <v>514</v>
      </c>
      <c r="G19" s="7">
        <v>9</v>
      </c>
      <c r="H19" s="7"/>
      <c r="I19" s="5">
        <v>6.5</v>
      </c>
      <c r="J19" s="5">
        <v>6.5</v>
      </c>
      <c r="K19" s="5"/>
      <c r="L19" s="5"/>
      <c r="M19" s="5"/>
      <c r="N19" s="70" t="s">
        <v>232</v>
      </c>
    </row>
    <row r="20" spans="1:14" ht="21.6" customHeight="1" x14ac:dyDescent="0.25">
      <c r="A20" s="68" t="s">
        <v>236</v>
      </c>
      <c r="B20" s="5" t="s">
        <v>24</v>
      </c>
      <c r="C20" s="5" t="s">
        <v>216</v>
      </c>
      <c r="D20" s="5">
        <v>57.856999999999999</v>
      </c>
      <c r="E20" s="5">
        <v>58.856999999999999</v>
      </c>
      <c r="F20" s="5" t="s">
        <v>514</v>
      </c>
      <c r="G20" s="7">
        <v>1</v>
      </c>
      <c r="H20" s="7"/>
      <c r="I20" s="5">
        <v>11</v>
      </c>
      <c r="J20" s="5">
        <v>11</v>
      </c>
      <c r="K20" s="5"/>
      <c r="L20" s="5"/>
      <c r="M20" s="5"/>
      <c r="N20" s="70" t="s">
        <v>230</v>
      </c>
    </row>
    <row r="21" spans="1:14" ht="21.6" customHeight="1" x14ac:dyDescent="0.25">
      <c r="A21" s="68" t="s">
        <v>237</v>
      </c>
      <c r="B21" s="5" t="s">
        <v>24</v>
      </c>
      <c r="C21" s="5" t="s">
        <v>203</v>
      </c>
      <c r="D21" s="5">
        <v>58.856999999999999</v>
      </c>
      <c r="E21" s="5">
        <v>59.856999999999999</v>
      </c>
      <c r="F21" s="5" t="s">
        <v>514</v>
      </c>
      <c r="G21" s="7">
        <v>1</v>
      </c>
      <c r="H21" s="7"/>
      <c r="I21" s="5">
        <v>6.5</v>
      </c>
      <c r="J21" s="5">
        <v>6.5</v>
      </c>
      <c r="K21" s="5"/>
      <c r="L21" s="5"/>
      <c r="M21" s="5"/>
      <c r="N21" s="70" t="s">
        <v>232</v>
      </c>
    </row>
    <row r="22" spans="1:14" ht="21.6" customHeight="1" x14ac:dyDescent="0.25">
      <c r="A22" s="68" t="s">
        <v>238</v>
      </c>
      <c r="B22" s="5" t="s">
        <v>24</v>
      </c>
      <c r="C22" s="5" t="s">
        <v>216</v>
      </c>
      <c r="D22" s="5">
        <v>59.856999999999999</v>
      </c>
      <c r="E22" s="5">
        <v>62.557000000000002</v>
      </c>
      <c r="F22" s="5" t="s">
        <v>514</v>
      </c>
      <c r="G22" s="5">
        <v>2.7</v>
      </c>
      <c r="H22" s="5"/>
      <c r="I22" s="5">
        <v>6.5</v>
      </c>
      <c r="J22" s="5">
        <v>6.5</v>
      </c>
      <c r="K22" s="5"/>
      <c r="L22" s="5"/>
      <c r="M22" s="5"/>
      <c r="N22" s="70" t="s">
        <v>239</v>
      </c>
    </row>
    <row r="23" spans="1:14" ht="21.6" customHeight="1" x14ac:dyDescent="0.25">
      <c r="A23" s="68" t="s">
        <v>240</v>
      </c>
      <c r="B23" s="5" t="s">
        <v>24</v>
      </c>
      <c r="C23" s="5" t="s">
        <v>203</v>
      </c>
      <c r="D23" s="5">
        <v>62.557000000000002</v>
      </c>
      <c r="E23" s="5">
        <v>65.606999999999999</v>
      </c>
      <c r="F23" s="5" t="s">
        <v>514</v>
      </c>
      <c r="G23" s="5">
        <v>3.05</v>
      </c>
      <c r="H23" s="5"/>
      <c r="I23" s="5">
        <v>6.5</v>
      </c>
      <c r="J23" s="5">
        <v>7.5</v>
      </c>
      <c r="K23" s="5"/>
      <c r="L23" s="5"/>
      <c r="M23" s="5"/>
      <c r="N23" s="70" t="s">
        <v>241</v>
      </c>
    </row>
    <row r="24" spans="1:14" ht="21.6" customHeight="1" x14ac:dyDescent="0.25">
      <c r="A24" s="68" t="s">
        <v>242</v>
      </c>
      <c r="B24" s="5" t="s">
        <v>24</v>
      </c>
      <c r="C24" s="5" t="s">
        <v>216</v>
      </c>
      <c r="D24" s="5">
        <v>65.606999999999999</v>
      </c>
      <c r="E24" s="5">
        <v>70.106999999999999</v>
      </c>
      <c r="F24" s="5" t="s">
        <v>514</v>
      </c>
      <c r="G24" s="5">
        <v>4.5</v>
      </c>
      <c r="H24" s="5"/>
      <c r="I24" s="5">
        <v>30</v>
      </c>
      <c r="J24" s="5">
        <v>30</v>
      </c>
      <c r="K24" s="5"/>
      <c r="L24" s="5"/>
      <c r="M24" s="5"/>
      <c r="N24" s="70" t="s">
        <v>243</v>
      </c>
    </row>
    <row r="25" spans="1:14" ht="21.6" customHeight="1" x14ac:dyDescent="0.25">
      <c r="A25" s="68" t="s">
        <v>244</v>
      </c>
      <c r="B25" s="5" t="s">
        <v>24</v>
      </c>
      <c r="C25" s="5" t="s">
        <v>216</v>
      </c>
      <c r="D25" s="5">
        <v>70.106999999999999</v>
      </c>
      <c r="E25" s="5">
        <v>71.206999999999994</v>
      </c>
      <c r="F25" s="5" t="s">
        <v>514</v>
      </c>
      <c r="G25" s="7">
        <v>1.1000000000000001</v>
      </c>
      <c r="H25" s="7"/>
      <c r="I25" s="5">
        <v>30</v>
      </c>
      <c r="J25" s="5">
        <v>30</v>
      </c>
      <c r="K25" s="5"/>
      <c r="L25" s="5"/>
      <c r="M25" s="5"/>
      <c r="N25" s="70" t="s">
        <v>245</v>
      </c>
    </row>
    <row r="26" spans="1:14" ht="21.6" customHeight="1" x14ac:dyDescent="0.25">
      <c r="A26" s="68" t="s">
        <v>246</v>
      </c>
      <c r="B26" s="5" t="s">
        <v>24</v>
      </c>
      <c r="C26" s="5" t="s">
        <v>216</v>
      </c>
      <c r="D26" s="5">
        <v>71.206999999999994</v>
      </c>
      <c r="E26" s="5">
        <v>79.757000000000005</v>
      </c>
      <c r="F26" s="5" t="s">
        <v>514</v>
      </c>
      <c r="G26" s="7">
        <v>8.5500000000000007</v>
      </c>
      <c r="H26" s="7"/>
      <c r="I26" s="5">
        <v>30</v>
      </c>
      <c r="J26" s="5">
        <v>30</v>
      </c>
      <c r="K26" s="5"/>
      <c r="L26" s="5"/>
      <c r="M26" s="5"/>
      <c r="N26" s="70" t="s">
        <v>243</v>
      </c>
    </row>
    <row r="27" spans="1:14" ht="21.6" customHeight="1" x14ac:dyDescent="0.25">
      <c r="A27" s="68" t="s">
        <v>247</v>
      </c>
      <c r="B27" s="5" t="s">
        <v>24</v>
      </c>
      <c r="C27" s="5" t="s">
        <v>216</v>
      </c>
      <c r="D27" s="5">
        <v>82.956999999999994</v>
      </c>
      <c r="E27" s="5">
        <v>83.606999999999999</v>
      </c>
      <c r="F27" s="5" t="s">
        <v>514</v>
      </c>
      <c r="G27" s="7">
        <v>0.65</v>
      </c>
      <c r="H27" s="7"/>
      <c r="I27" s="5">
        <v>11</v>
      </c>
      <c r="J27" s="5">
        <v>11</v>
      </c>
      <c r="K27" s="5"/>
      <c r="L27" s="5"/>
      <c r="M27" s="5"/>
      <c r="N27" s="70" t="s">
        <v>230</v>
      </c>
    </row>
    <row r="28" spans="1:14" ht="21.6" customHeight="1" x14ac:dyDescent="0.25">
      <c r="A28" s="68" t="s">
        <v>248</v>
      </c>
      <c r="B28" s="5" t="s">
        <v>24</v>
      </c>
      <c r="C28" s="5" t="s">
        <v>216</v>
      </c>
      <c r="D28" s="5">
        <v>83.606999999999999</v>
      </c>
      <c r="E28" s="5">
        <v>85.106999999999999</v>
      </c>
      <c r="F28" s="5" t="s">
        <v>514</v>
      </c>
      <c r="G28" s="7">
        <v>1.5</v>
      </c>
      <c r="H28" s="7"/>
      <c r="I28" s="5">
        <v>9.5</v>
      </c>
      <c r="J28" s="5">
        <v>9.5</v>
      </c>
      <c r="K28" s="5"/>
      <c r="L28" s="5"/>
      <c r="M28" s="5"/>
      <c r="N28" s="70" t="s">
        <v>249</v>
      </c>
    </row>
    <row r="29" spans="1:14" ht="21.6" customHeight="1" x14ac:dyDescent="0.25">
      <c r="A29" s="68" t="s">
        <v>250</v>
      </c>
      <c r="B29" s="5" t="s">
        <v>24</v>
      </c>
      <c r="C29" s="5" t="s">
        <v>216</v>
      </c>
      <c r="D29" s="5">
        <v>85.106999999999999</v>
      </c>
      <c r="E29" s="5">
        <v>103.357</v>
      </c>
      <c r="F29" s="5" t="s">
        <v>514</v>
      </c>
      <c r="G29" s="5">
        <v>18.260000000000002</v>
      </c>
      <c r="H29" s="5"/>
      <c r="I29" s="5">
        <v>14</v>
      </c>
      <c r="J29" s="5">
        <v>14</v>
      </c>
      <c r="K29" s="5"/>
      <c r="L29" s="5"/>
      <c r="M29" s="5"/>
      <c r="N29" s="70" t="s">
        <v>251</v>
      </c>
    </row>
    <row r="30" spans="1:14" ht="21.6" customHeight="1" x14ac:dyDescent="0.25">
      <c r="A30" s="68" t="s">
        <v>252</v>
      </c>
      <c r="B30" s="5" t="s">
        <v>24</v>
      </c>
      <c r="C30" s="5" t="s">
        <v>203</v>
      </c>
      <c r="D30" s="5">
        <v>103.357</v>
      </c>
      <c r="E30" s="5">
        <v>138.607</v>
      </c>
      <c r="F30" s="5" t="s">
        <v>514</v>
      </c>
      <c r="G30" s="8">
        <v>35.25</v>
      </c>
      <c r="H30" s="8"/>
      <c r="I30" s="5">
        <v>5.5</v>
      </c>
      <c r="J30" s="5">
        <v>5.5</v>
      </c>
      <c r="K30" s="5"/>
      <c r="L30" s="5"/>
      <c r="M30" s="5"/>
      <c r="N30" s="70" t="s">
        <v>253</v>
      </c>
    </row>
    <row r="31" spans="1:14" ht="21.6" customHeight="1" x14ac:dyDescent="0.25">
      <c r="A31" s="68" t="s">
        <v>254</v>
      </c>
      <c r="B31" s="5" t="s">
        <v>28</v>
      </c>
      <c r="C31" s="5" t="s">
        <v>203</v>
      </c>
      <c r="D31" s="5">
        <v>39</v>
      </c>
      <c r="E31" s="5">
        <v>66.5</v>
      </c>
      <c r="F31" s="5" t="s">
        <v>514</v>
      </c>
      <c r="G31" s="7">
        <v>30.5</v>
      </c>
      <c r="H31" s="7"/>
      <c r="I31" s="5">
        <v>6.5</v>
      </c>
      <c r="J31" s="5">
        <v>7.5</v>
      </c>
      <c r="K31" s="5"/>
      <c r="L31" s="5"/>
      <c r="M31" s="5"/>
      <c r="N31" s="70" t="s">
        <v>241</v>
      </c>
    </row>
    <row r="32" spans="1:14" ht="21.6" customHeight="1" x14ac:dyDescent="0.25">
      <c r="A32" s="68" t="s">
        <v>255</v>
      </c>
      <c r="B32" s="5" t="s">
        <v>28</v>
      </c>
      <c r="C32" s="5" t="s">
        <v>216</v>
      </c>
      <c r="D32" s="5">
        <v>66.5</v>
      </c>
      <c r="E32" s="5">
        <v>67</v>
      </c>
      <c r="F32" s="5" t="s">
        <v>514</v>
      </c>
      <c r="G32" s="7">
        <v>0.5</v>
      </c>
      <c r="H32" s="7"/>
      <c r="I32" s="5">
        <v>11</v>
      </c>
      <c r="J32" s="5">
        <v>12</v>
      </c>
      <c r="K32" s="5"/>
      <c r="L32" s="5"/>
      <c r="M32" s="5"/>
      <c r="N32" s="70" t="s">
        <v>234</v>
      </c>
    </row>
    <row r="33" spans="1:14" ht="21.6" customHeight="1" x14ac:dyDescent="0.25">
      <c r="A33" s="68" t="s">
        <v>256</v>
      </c>
      <c r="B33" s="5" t="s">
        <v>28</v>
      </c>
      <c r="C33" s="5" t="s">
        <v>216</v>
      </c>
      <c r="D33" s="5">
        <v>67</v>
      </c>
      <c r="E33" s="5">
        <v>68.92</v>
      </c>
      <c r="F33" s="5" t="s">
        <v>514</v>
      </c>
      <c r="G33" s="7">
        <v>1.9200000000000017</v>
      </c>
      <c r="H33" s="7"/>
      <c r="I33" s="5">
        <v>10.5</v>
      </c>
      <c r="J33" s="5">
        <v>11</v>
      </c>
      <c r="K33" s="5"/>
      <c r="L33" s="5"/>
      <c r="M33" s="5"/>
      <c r="N33" s="70" t="s">
        <v>257</v>
      </c>
    </row>
    <row r="34" spans="1:14" ht="21.6" customHeight="1" x14ac:dyDescent="0.25">
      <c r="A34" s="68" t="s">
        <v>258</v>
      </c>
      <c r="B34" s="5" t="s">
        <v>28</v>
      </c>
      <c r="C34" s="5" t="s">
        <v>203</v>
      </c>
      <c r="D34" s="5">
        <v>68.92</v>
      </c>
      <c r="E34" s="5">
        <v>73.39</v>
      </c>
      <c r="F34" s="5" t="s">
        <v>514</v>
      </c>
      <c r="G34" s="7">
        <v>4.4699999999999989</v>
      </c>
      <c r="H34" s="7"/>
      <c r="I34" s="5">
        <v>6.5</v>
      </c>
      <c r="J34" s="5">
        <v>7.5</v>
      </c>
      <c r="K34" s="5"/>
      <c r="L34" s="5"/>
      <c r="M34" s="5"/>
      <c r="N34" s="70" t="s">
        <v>241</v>
      </c>
    </row>
    <row r="35" spans="1:14" ht="21.6" customHeight="1" x14ac:dyDescent="0.25">
      <c r="A35" s="68" t="s">
        <v>259</v>
      </c>
      <c r="B35" s="5" t="s">
        <v>28</v>
      </c>
      <c r="C35" s="5" t="s">
        <v>203</v>
      </c>
      <c r="D35" s="5">
        <v>73.39</v>
      </c>
      <c r="E35" s="5">
        <v>76</v>
      </c>
      <c r="F35" s="5" t="s">
        <v>514</v>
      </c>
      <c r="G35" s="7">
        <v>2.6099999999999994</v>
      </c>
      <c r="H35" s="7"/>
      <c r="I35" s="5">
        <v>6.5</v>
      </c>
      <c r="J35" s="5">
        <v>7.5</v>
      </c>
      <c r="K35" s="5"/>
      <c r="L35" s="5"/>
      <c r="M35" s="5"/>
      <c r="N35" s="70" t="s">
        <v>260</v>
      </c>
    </row>
    <row r="36" spans="1:14" ht="21.6" customHeight="1" x14ac:dyDescent="0.25">
      <c r="A36" s="68" t="s">
        <v>261</v>
      </c>
      <c r="B36" s="5" t="s">
        <v>28</v>
      </c>
      <c r="C36" s="5" t="s">
        <v>203</v>
      </c>
      <c r="D36" s="5">
        <v>76</v>
      </c>
      <c r="E36" s="5">
        <v>77</v>
      </c>
      <c r="F36" s="5" t="s">
        <v>514</v>
      </c>
      <c r="G36" s="7">
        <v>1</v>
      </c>
      <c r="H36" s="7"/>
      <c r="I36" s="5">
        <v>6.5</v>
      </c>
      <c r="J36" s="5">
        <v>7.5</v>
      </c>
      <c r="K36" s="5"/>
      <c r="L36" s="5"/>
      <c r="M36" s="5"/>
      <c r="N36" s="70" t="s">
        <v>241</v>
      </c>
    </row>
    <row r="37" spans="1:14" ht="21.6" customHeight="1" x14ac:dyDescent="0.25">
      <c r="A37" s="68" t="s">
        <v>262</v>
      </c>
      <c r="B37" s="5" t="s">
        <v>28</v>
      </c>
      <c r="C37" s="5" t="s">
        <v>203</v>
      </c>
      <c r="D37" s="5">
        <v>77</v>
      </c>
      <c r="E37" s="5">
        <v>77.3</v>
      </c>
      <c r="F37" s="5" t="s">
        <v>514</v>
      </c>
      <c r="G37" s="7">
        <v>0.3</v>
      </c>
      <c r="H37" s="7"/>
      <c r="I37" s="5">
        <v>6.5</v>
      </c>
      <c r="J37" s="5">
        <v>7.5</v>
      </c>
      <c r="K37" s="5"/>
      <c r="L37" s="5"/>
      <c r="M37" s="5"/>
      <c r="N37" s="70" t="s">
        <v>260</v>
      </c>
    </row>
    <row r="38" spans="1:14" ht="21.6" customHeight="1" x14ac:dyDescent="0.25">
      <c r="A38" s="68" t="s">
        <v>263</v>
      </c>
      <c r="B38" s="5" t="s">
        <v>28</v>
      </c>
      <c r="C38" s="5" t="s">
        <v>203</v>
      </c>
      <c r="D38" s="5">
        <v>77.3</v>
      </c>
      <c r="E38" s="5">
        <v>77.73</v>
      </c>
      <c r="F38" s="5" t="s">
        <v>514</v>
      </c>
      <c r="G38" s="7">
        <v>0.43000000000000682</v>
      </c>
      <c r="H38" s="7"/>
      <c r="I38" s="5">
        <v>6.5</v>
      </c>
      <c r="J38" s="5">
        <v>7.5</v>
      </c>
      <c r="K38" s="5"/>
      <c r="L38" s="5"/>
      <c r="M38" s="5"/>
      <c r="N38" s="70" t="s">
        <v>241</v>
      </c>
    </row>
    <row r="39" spans="1:14" ht="21.6" customHeight="1" x14ac:dyDescent="0.25">
      <c r="A39" s="68" t="s">
        <v>264</v>
      </c>
      <c r="B39" s="5" t="s">
        <v>28</v>
      </c>
      <c r="C39" s="5" t="s">
        <v>203</v>
      </c>
      <c r="D39" s="5">
        <v>77.73</v>
      </c>
      <c r="E39" s="5">
        <v>79.42</v>
      </c>
      <c r="F39" s="5" t="s">
        <v>514</v>
      </c>
      <c r="G39" s="7">
        <v>1.6899999999999977</v>
      </c>
      <c r="H39" s="7"/>
      <c r="I39" s="5">
        <v>6.5</v>
      </c>
      <c r="J39" s="5">
        <v>7.5</v>
      </c>
      <c r="K39" s="5"/>
      <c r="L39" s="5"/>
      <c r="M39" s="5"/>
      <c r="N39" s="70" t="s">
        <v>260</v>
      </c>
    </row>
    <row r="40" spans="1:14" ht="21.6" customHeight="1" x14ac:dyDescent="0.25">
      <c r="A40" s="68" t="s">
        <v>265</v>
      </c>
      <c r="B40" s="5" t="s">
        <v>28</v>
      </c>
      <c r="C40" s="5" t="s">
        <v>203</v>
      </c>
      <c r="D40" s="5">
        <v>79.42</v>
      </c>
      <c r="E40" s="5">
        <v>79.900000000000006</v>
      </c>
      <c r="F40" s="5" t="s">
        <v>514</v>
      </c>
      <c r="G40" s="7">
        <v>0.48000000000000398</v>
      </c>
      <c r="H40" s="7"/>
      <c r="I40" s="5">
        <v>6.5</v>
      </c>
      <c r="J40" s="5">
        <v>7.5</v>
      </c>
      <c r="K40" s="5"/>
      <c r="L40" s="5"/>
      <c r="M40" s="5"/>
      <c r="N40" s="70" t="s">
        <v>241</v>
      </c>
    </row>
    <row r="41" spans="1:14" ht="21.6" customHeight="1" x14ac:dyDescent="0.25">
      <c r="A41" s="68" t="s">
        <v>266</v>
      </c>
      <c r="B41" s="5" t="s">
        <v>28</v>
      </c>
      <c r="C41" s="5" t="s">
        <v>203</v>
      </c>
      <c r="D41" s="5">
        <v>79.900000000000006</v>
      </c>
      <c r="E41" s="5">
        <v>81.099999999999994</v>
      </c>
      <c r="F41" s="5" t="s">
        <v>514</v>
      </c>
      <c r="G41" s="7">
        <v>1.1999999999999886</v>
      </c>
      <c r="H41" s="7"/>
      <c r="I41" s="5">
        <v>6.5</v>
      </c>
      <c r="J41" s="5">
        <v>7.5</v>
      </c>
      <c r="K41" s="5"/>
      <c r="L41" s="5"/>
      <c r="M41" s="5"/>
      <c r="N41" s="70" t="s">
        <v>241</v>
      </c>
    </row>
    <row r="42" spans="1:14" ht="21.6" customHeight="1" x14ac:dyDescent="0.25">
      <c r="A42" s="68" t="s">
        <v>267</v>
      </c>
      <c r="B42" s="5" t="s">
        <v>28</v>
      </c>
      <c r="C42" s="5" t="s">
        <v>203</v>
      </c>
      <c r="D42" s="5">
        <v>81.099999999999994</v>
      </c>
      <c r="E42" s="5">
        <v>81.3</v>
      </c>
      <c r="F42" s="5" t="s">
        <v>514</v>
      </c>
      <c r="G42" s="7">
        <v>0.2</v>
      </c>
      <c r="H42" s="7"/>
      <c r="I42" s="5">
        <v>6.5</v>
      </c>
      <c r="J42" s="5">
        <v>7.5</v>
      </c>
      <c r="K42" s="5"/>
      <c r="L42" s="5"/>
      <c r="M42" s="5"/>
      <c r="N42" s="70" t="s">
        <v>260</v>
      </c>
    </row>
    <row r="43" spans="1:14" ht="21.6" customHeight="1" x14ac:dyDescent="0.25">
      <c r="A43" s="68" t="s">
        <v>268</v>
      </c>
      <c r="B43" s="5" t="s">
        <v>28</v>
      </c>
      <c r="C43" s="5" t="s">
        <v>203</v>
      </c>
      <c r="D43" s="5">
        <v>81.3</v>
      </c>
      <c r="E43" s="5">
        <v>88.7</v>
      </c>
      <c r="F43" s="5" t="s">
        <v>514</v>
      </c>
      <c r="G43" s="7">
        <v>7.4</v>
      </c>
      <c r="H43" s="7"/>
      <c r="I43" s="5">
        <v>6.5</v>
      </c>
      <c r="J43" s="5">
        <v>7.5</v>
      </c>
      <c r="K43" s="5"/>
      <c r="L43" s="5"/>
      <c r="M43" s="5"/>
      <c r="N43" s="70" t="s">
        <v>241</v>
      </c>
    </row>
    <row r="44" spans="1:14" ht="21.6" customHeight="1" x14ac:dyDescent="0.25">
      <c r="A44" s="68" t="s">
        <v>269</v>
      </c>
      <c r="B44" s="5" t="s">
        <v>28</v>
      </c>
      <c r="C44" s="5" t="s">
        <v>203</v>
      </c>
      <c r="D44" s="5">
        <v>88.7</v>
      </c>
      <c r="E44" s="5">
        <v>91</v>
      </c>
      <c r="F44" s="5" t="s">
        <v>514</v>
      </c>
      <c r="G44" s="7">
        <v>2.2999999999999972</v>
      </c>
      <c r="H44" s="7"/>
      <c r="I44" s="5">
        <v>6.5</v>
      </c>
      <c r="J44" s="5">
        <v>7.5</v>
      </c>
      <c r="K44" s="5"/>
      <c r="L44" s="5"/>
      <c r="M44" s="5"/>
      <c r="N44" s="70" t="s">
        <v>241</v>
      </c>
    </row>
    <row r="45" spans="1:14" ht="21.6" customHeight="1" x14ac:dyDescent="0.25">
      <c r="A45" s="68" t="s">
        <v>270</v>
      </c>
      <c r="B45" s="5" t="s">
        <v>28</v>
      </c>
      <c r="C45" s="5" t="s">
        <v>203</v>
      </c>
      <c r="D45" s="5">
        <v>91</v>
      </c>
      <c r="E45" s="5">
        <v>157.5</v>
      </c>
      <c r="F45" s="5" t="s">
        <v>514</v>
      </c>
      <c r="G45" s="7">
        <v>66.5</v>
      </c>
      <c r="H45" s="7"/>
      <c r="I45" s="5">
        <v>6.5</v>
      </c>
      <c r="J45" s="5">
        <v>7.5</v>
      </c>
      <c r="K45" s="5"/>
      <c r="L45" s="5"/>
      <c r="M45" s="5"/>
      <c r="N45" s="70" t="s">
        <v>241</v>
      </c>
    </row>
    <row r="46" spans="1:14" ht="21.6" customHeight="1" x14ac:dyDescent="0.25">
      <c r="A46" s="68" t="s">
        <v>271</v>
      </c>
      <c r="B46" s="5" t="s">
        <v>32</v>
      </c>
      <c r="C46" s="5" t="s">
        <v>203</v>
      </c>
      <c r="D46" s="5">
        <v>238</v>
      </c>
      <c r="E46" s="5">
        <v>239.7</v>
      </c>
      <c r="F46" s="5" t="s">
        <v>514</v>
      </c>
      <c r="G46" s="7">
        <v>1.7</v>
      </c>
      <c r="H46" s="7"/>
      <c r="I46" s="5">
        <v>5.5</v>
      </c>
      <c r="J46" s="5">
        <v>5.5</v>
      </c>
      <c r="K46" s="5"/>
      <c r="L46" s="5"/>
      <c r="M46" s="5"/>
      <c r="N46" s="70" t="s">
        <v>272</v>
      </c>
    </row>
    <row r="47" spans="1:14" ht="21.6" customHeight="1" x14ac:dyDescent="0.25">
      <c r="A47" s="68" t="s">
        <v>273</v>
      </c>
      <c r="B47" s="5" t="s">
        <v>32</v>
      </c>
      <c r="C47" s="5" t="s">
        <v>216</v>
      </c>
      <c r="D47" s="5">
        <v>239.7</v>
      </c>
      <c r="E47" s="5">
        <v>243.5</v>
      </c>
      <c r="F47" s="5" t="s">
        <v>514</v>
      </c>
      <c r="G47" s="7">
        <v>3.8</v>
      </c>
      <c r="H47" s="7"/>
      <c r="I47" s="5">
        <v>9</v>
      </c>
      <c r="J47" s="5">
        <v>9</v>
      </c>
      <c r="K47" s="5"/>
      <c r="L47" s="5"/>
      <c r="M47" s="5"/>
      <c r="N47" s="70" t="s">
        <v>274</v>
      </c>
    </row>
    <row r="48" spans="1:14" ht="21.6" customHeight="1" x14ac:dyDescent="0.25">
      <c r="A48" s="68" t="s">
        <v>275</v>
      </c>
      <c r="B48" s="5" t="s">
        <v>32</v>
      </c>
      <c r="C48" s="5" t="s">
        <v>203</v>
      </c>
      <c r="D48" s="5">
        <v>243.5</v>
      </c>
      <c r="E48" s="5">
        <v>249.85</v>
      </c>
      <c r="F48" s="5" t="s">
        <v>514</v>
      </c>
      <c r="G48" s="7">
        <v>6.35</v>
      </c>
      <c r="H48" s="7"/>
      <c r="I48" s="5">
        <v>5.5</v>
      </c>
      <c r="J48" s="5">
        <v>5.5</v>
      </c>
      <c r="K48" s="5"/>
      <c r="L48" s="5"/>
      <c r="M48" s="5"/>
      <c r="N48" s="70" t="s">
        <v>272</v>
      </c>
    </row>
    <row r="49" spans="1:14" ht="21.6" customHeight="1" x14ac:dyDescent="0.25">
      <c r="A49" s="68" t="s">
        <v>276</v>
      </c>
      <c r="B49" s="5" t="s">
        <v>32</v>
      </c>
      <c r="C49" s="5" t="s">
        <v>216</v>
      </c>
      <c r="D49" s="5">
        <v>249.85</v>
      </c>
      <c r="E49" s="5">
        <v>250.5</v>
      </c>
      <c r="F49" s="5" t="s">
        <v>514</v>
      </c>
      <c r="G49" s="7">
        <v>0.65</v>
      </c>
      <c r="H49" s="7"/>
      <c r="I49" s="5">
        <v>9</v>
      </c>
      <c r="J49" s="5">
        <v>9</v>
      </c>
      <c r="K49" s="5"/>
      <c r="L49" s="5"/>
      <c r="M49" s="5"/>
      <c r="N49" s="70" t="s">
        <v>274</v>
      </c>
    </row>
    <row r="50" spans="1:14" ht="21.6" customHeight="1" x14ac:dyDescent="0.25">
      <c r="A50" s="68" t="s">
        <v>277</v>
      </c>
      <c r="B50" s="5" t="s">
        <v>32</v>
      </c>
      <c r="C50" s="5" t="s">
        <v>216</v>
      </c>
      <c r="D50" s="5">
        <v>271</v>
      </c>
      <c r="E50" s="5">
        <v>273.7</v>
      </c>
      <c r="F50" s="5" t="s">
        <v>514</v>
      </c>
      <c r="G50" s="7">
        <v>2.7</v>
      </c>
      <c r="H50" s="7"/>
      <c r="I50" s="5">
        <v>10.5</v>
      </c>
      <c r="J50" s="5">
        <v>10.5</v>
      </c>
      <c r="K50" s="5"/>
      <c r="L50" s="5"/>
      <c r="M50" s="5"/>
      <c r="N50" s="70" t="s">
        <v>278</v>
      </c>
    </row>
    <row r="51" spans="1:14" ht="21.6" customHeight="1" x14ac:dyDescent="0.25">
      <c r="A51" s="68" t="s">
        <v>279</v>
      </c>
      <c r="B51" s="5" t="s">
        <v>32</v>
      </c>
      <c r="C51" s="5" t="s">
        <v>216</v>
      </c>
      <c r="D51" s="5">
        <v>273.7</v>
      </c>
      <c r="E51" s="5">
        <v>284.60000000000002</v>
      </c>
      <c r="F51" s="5" t="s">
        <v>514</v>
      </c>
      <c r="G51" s="7">
        <v>10.9</v>
      </c>
      <c r="H51" s="7"/>
      <c r="I51" s="5">
        <v>10.5</v>
      </c>
      <c r="J51" s="5">
        <v>10.5</v>
      </c>
      <c r="K51" s="5"/>
      <c r="L51" s="5"/>
      <c r="M51" s="5"/>
      <c r="N51" s="70" t="s">
        <v>280</v>
      </c>
    </row>
    <row r="52" spans="1:14" ht="21.6" customHeight="1" x14ac:dyDescent="0.25">
      <c r="A52" s="68" t="s">
        <v>281</v>
      </c>
      <c r="B52" s="5" t="s">
        <v>32</v>
      </c>
      <c r="C52" s="5" t="s">
        <v>203</v>
      </c>
      <c r="D52" s="5">
        <v>284.60000000000002</v>
      </c>
      <c r="E52" s="5">
        <v>316</v>
      </c>
      <c r="F52" s="5" t="s">
        <v>514</v>
      </c>
      <c r="G52" s="7">
        <v>29</v>
      </c>
      <c r="H52" s="7"/>
      <c r="I52" s="5">
        <v>5.5</v>
      </c>
      <c r="J52" s="5">
        <v>5.5</v>
      </c>
      <c r="K52" s="5"/>
      <c r="L52" s="5"/>
      <c r="M52" s="5"/>
      <c r="N52" s="70" t="s">
        <v>272</v>
      </c>
    </row>
    <row r="53" spans="1:14" ht="21.6" customHeight="1" x14ac:dyDescent="0.25">
      <c r="A53" s="68" t="s">
        <v>282</v>
      </c>
      <c r="B53" s="5" t="s">
        <v>32</v>
      </c>
      <c r="C53" s="5" t="s">
        <v>203</v>
      </c>
      <c r="D53" s="5">
        <v>316</v>
      </c>
      <c r="E53" s="5">
        <v>320</v>
      </c>
      <c r="F53" s="5" t="s">
        <v>514</v>
      </c>
      <c r="G53" s="6">
        <v>4</v>
      </c>
      <c r="H53" s="6"/>
      <c r="I53" s="5">
        <v>5.5</v>
      </c>
      <c r="J53" s="5">
        <v>5.5</v>
      </c>
      <c r="K53" s="5"/>
      <c r="L53" s="5"/>
      <c r="M53" s="5"/>
      <c r="N53" s="70" t="s">
        <v>283</v>
      </c>
    </row>
    <row r="54" spans="1:14" ht="21.6" customHeight="1" x14ac:dyDescent="0.25">
      <c r="A54" s="68" t="s">
        <v>284</v>
      </c>
      <c r="B54" s="5" t="s">
        <v>32</v>
      </c>
      <c r="C54" s="5" t="s">
        <v>216</v>
      </c>
      <c r="D54" s="5">
        <v>320</v>
      </c>
      <c r="E54" s="5">
        <v>322.8</v>
      </c>
      <c r="F54" s="5" t="s">
        <v>514</v>
      </c>
      <c r="G54" s="6">
        <v>2.8000000000000114</v>
      </c>
      <c r="H54" s="6"/>
      <c r="I54" s="5">
        <v>9</v>
      </c>
      <c r="J54" s="5">
        <v>9</v>
      </c>
      <c r="K54" s="5"/>
      <c r="L54" s="5"/>
      <c r="M54" s="5"/>
      <c r="N54" s="70" t="s">
        <v>274</v>
      </c>
    </row>
    <row r="55" spans="1:14" s="66" customFormat="1" ht="21.6" customHeight="1" x14ac:dyDescent="0.25">
      <c r="A55" s="69" t="s">
        <v>285</v>
      </c>
      <c r="B55" s="64" t="s">
        <v>32</v>
      </c>
      <c r="C55" s="64" t="s">
        <v>203</v>
      </c>
      <c r="D55" s="64">
        <v>322.8</v>
      </c>
      <c r="E55" s="64">
        <v>329.5</v>
      </c>
      <c r="F55" s="64" t="s">
        <v>514</v>
      </c>
      <c r="G55" s="65">
        <v>6.7</v>
      </c>
      <c r="H55" s="65"/>
      <c r="I55" s="64">
        <v>5.5</v>
      </c>
      <c r="J55" s="64">
        <v>5.5</v>
      </c>
      <c r="K55" s="64"/>
      <c r="L55" s="64"/>
      <c r="M55" s="64"/>
      <c r="N55" s="71" t="s">
        <v>283</v>
      </c>
    </row>
    <row r="56" spans="1:14" s="66" customFormat="1" ht="21.6" customHeight="1" x14ac:dyDescent="0.25">
      <c r="A56" s="69" t="s">
        <v>286</v>
      </c>
      <c r="B56" s="64" t="s">
        <v>32</v>
      </c>
      <c r="C56" s="64" t="s">
        <v>216</v>
      </c>
      <c r="D56" s="64">
        <v>329.5</v>
      </c>
      <c r="E56" s="64">
        <v>330</v>
      </c>
      <c r="F56" s="64" t="s">
        <v>514</v>
      </c>
      <c r="G56" s="65">
        <v>0.5</v>
      </c>
      <c r="H56" s="65"/>
      <c r="I56" s="64">
        <v>9</v>
      </c>
      <c r="J56" s="64">
        <v>9</v>
      </c>
      <c r="K56" s="64"/>
      <c r="L56" s="64"/>
      <c r="M56" s="64"/>
      <c r="N56" s="71" t="s">
        <v>274</v>
      </c>
    </row>
    <row r="57" spans="1:14" s="66" customFormat="1" ht="21.6" customHeight="1" x14ac:dyDescent="0.25">
      <c r="A57" s="69" t="s">
        <v>287</v>
      </c>
      <c r="B57" s="64" t="s">
        <v>32</v>
      </c>
      <c r="C57" s="64" t="s">
        <v>203</v>
      </c>
      <c r="D57" s="64">
        <v>330</v>
      </c>
      <c r="E57" s="64">
        <v>355</v>
      </c>
      <c r="F57" s="64" t="s">
        <v>514</v>
      </c>
      <c r="G57" s="65">
        <v>25</v>
      </c>
      <c r="H57" s="65"/>
      <c r="I57" s="64">
        <v>5.5</v>
      </c>
      <c r="J57" s="64">
        <v>5.5</v>
      </c>
      <c r="K57" s="64"/>
      <c r="L57" s="64"/>
      <c r="M57" s="64"/>
      <c r="N57" s="71" t="s">
        <v>283</v>
      </c>
    </row>
    <row r="58" spans="1:14" s="66" customFormat="1" ht="21.6" customHeight="1" x14ac:dyDescent="0.25">
      <c r="A58" s="69" t="s">
        <v>288</v>
      </c>
      <c r="B58" s="64" t="s">
        <v>36</v>
      </c>
      <c r="C58" s="64" t="s">
        <v>206</v>
      </c>
      <c r="D58" s="64">
        <v>25</v>
      </c>
      <c r="E58" s="64">
        <v>109</v>
      </c>
      <c r="F58" s="64" t="s">
        <v>514</v>
      </c>
      <c r="G58" s="67">
        <v>85</v>
      </c>
      <c r="H58" s="67"/>
      <c r="I58" s="64">
        <v>5.5</v>
      </c>
      <c r="J58" s="64">
        <v>5.5</v>
      </c>
      <c r="K58" s="64"/>
      <c r="L58" s="64"/>
      <c r="M58" s="64"/>
      <c r="N58" s="71" t="s">
        <v>289</v>
      </c>
    </row>
    <row r="59" spans="1:14" s="66" customFormat="1" ht="21.6" customHeight="1" x14ac:dyDescent="0.25">
      <c r="A59" s="69" t="s">
        <v>290</v>
      </c>
      <c r="B59" s="64" t="s">
        <v>36</v>
      </c>
      <c r="C59" s="64" t="s">
        <v>206</v>
      </c>
      <c r="D59" s="64">
        <v>109</v>
      </c>
      <c r="E59" s="64">
        <v>119.6</v>
      </c>
      <c r="F59" s="64" t="s">
        <v>514</v>
      </c>
      <c r="G59" s="67">
        <v>10.599999999999994</v>
      </c>
      <c r="H59" s="67"/>
      <c r="I59" s="64">
        <v>5.5</v>
      </c>
      <c r="J59" s="64">
        <v>5.5</v>
      </c>
      <c r="K59" s="64"/>
      <c r="L59" s="64"/>
      <c r="M59" s="64"/>
      <c r="N59" s="71" t="s">
        <v>291</v>
      </c>
    </row>
    <row r="60" spans="1:14" s="66" customFormat="1" ht="21.6" customHeight="1" x14ac:dyDescent="0.25">
      <c r="A60" s="69" t="s">
        <v>292</v>
      </c>
      <c r="B60" s="64" t="s">
        <v>36</v>
      </c>
      <c r="C60" s="64" t="s">
        <v>206</v>
      </c>
      <c r="D60" s="64">
        <v>119.6</v>
      </c>
      <c r="E60" s="64">
        <v>123.2</v>
      </c>
      <c r="F60" s="64" t="s">
        <v>514</v>
      </c>
      <c r="G60" s="67">
        <v>3.6000000000000085</v>
      </c>
      <c r="H60" s="67"/>
      <c r="I60" s="64">
        <v>6.5</v>
      </c>
      <c r="J60" s="64">
        <v>7</v>
      </c>
      <c r="K60" s="64"/>
      <c r="L60" s="64"/>
      <c r="M60" s="64"/>
      <c r="N60" s="71" t="s">
        <v>293</v>
      </c>
    </row>
    <row r="61" spans="1:14" s="66" customFormat="1" ht="21.6" customHeight="1" x14ac:dyDescent="0.25">
      <c r="A61" s="69" t="s">
        <v>294</v>
      </c>
      <c r="B61" s="64" t="s">
        <v>36</v>
      </c>
      <c r="C61" s="64" t="s">
        <v>206</v>
      </c>
      <c r="D61" s="64">
        <v>123.2</v>
      </c>
      <c r="E61" s="64">
        <v>124.2</v>
      </c>
      <c r="F61" s="64" t="s">
        <v>514</v>
      </c>
      <c r="G61" s="67">
        <v>1</v>
      </c>
      <c r="H61" s="67"/>
      <c r="I61" s="64">
        <v>11</v>
      </c>
      <c r="J61" s="64">
        <v>11</v>
      </c>
      <c r="K61" s="64"/>
      <c r="L61" s="64"/>
      <c r="M61" s="64"/>
      <c r="N61" s="71" t="s">
        <v>295</v>
      </c>
    </row>
    <row r="62" spans="1:14" s="66" customFormat="1" ht="21.6" customHeight="1" x14ac:dyDescent="0.25">
      <c r="A62" s="69" t="s">
        <v>296</v>
      </c>
      <c r="B62" s="64" t="s">
        <v>36</v>
      </c>
      <c r="C62" s="64" t="s">
        <v>206</v>
      </c>
      <c r="D62" s="64">
        <v>124.2</v>
      </c>
      <c r="E62" s="64">
        <v>189</v>
      </c>
      <c r="F62" s="64" t="s">
        <v>514</v>
      </c>
      <c r="G62" s="67">
        <v>64.8</v>
      </c>
      <c r="H62" s="67"/>
      <c r="I62" s="64">
        <v>5.5</v>
      </c>
      <c r="J62" s="64">
        <v>6.5</v>
      </c>
      <c r="K62" s="64"/>
      <c r="L62" s="64"/>
      <c r="M62" s="64"/>
      <c r="N62" s="71" t="s">
        <v>297</v>
      </c>
    </row>
    <row r="63" spans="1:14" s="66" customFormat="1" ht="21.6" customHeight="1" x14ac:dyDescent="0.25">
      <c r="A63" s="69" t="s">
        <v>298</v>
      </c>
      <c r="B63" s="64" t="s">
        <v>36</v>
      </c>
      <c r="C63" s="64" t="s">
        <v>216</v>
      </c>
      <c r="D63" s="64">
        <v>189</v>
      </c>
      <c r="E63" s="64">
        <v>198.05</v>
      </c>
      <c r="F63" s="64" t="s">
        <v>514</v>
      </c>
      <c r="G63" s="67">
        <v>9.0500000000000114</v>
      </c>
      <c r="H63" s="67"/>
      <c r="I63" s="64">
        <v>12</v>
      </c>
      <c r="J63" s="64">
        <v>12</v>
      </c>
      <c r="K63" s="64"/>
      <c r="L63" s="64"/>
      <c r="M63" s="64"/>
      <c r="N63" s="71" t="s">
        <v>299</v>
      </c>
    </row>
    <row r="64" spans="1:14" s="66" customFormat="1" ht="21.6" customHeight="1" x14ac:dyDescent="0.25">
      <c r="A64" s="69" t="s">
        <v>300</v>
      </c>
      <c r="B64" s="64" t="s">
        <v>40</v>
      </c>
      <c r="C64" s="64" t="s">
        <v>216</v>
      </c>
      <c r="D64" s="64">
        <v>79</v>
      </c>
      <c r="E64" s="64">
        <v>87.5</v>
      </c>
      <c r="F64" s="64" t="s">
        <v>514</v>
      </c>
      <c r="G64" s="67">
        <v>8.5</v>
      </c>
      <c r="H64" s="67"/>
      <c r="I64" s="64">
        <v>7.5</v>
      </c>
      <c r="J64" s="64">
        <v>7.5</v>
      </c>
      <c r="K64" s="64"/>
      <c r="L64" s="64"/>
      <c r="M64" s="64"/>
      <c r="N64" s="71" t="s">
        <v>301</v>
      </c>
    </row>
    <row r="65" spans="1:14" s="66" customFormat="1" ht="21.6" customHeight="1" x14ac:dyDescent="0.25">
      <c r="A65" s="69" t="s">
        <v>302</v>
      </c>
      <c r="B65" s="64" t="s">
        <v>40</v>
      </c>
      <c r="C65" s="64" t="s">
        <v>203</v>
      </c>
      <c r="D65" s="64">
        <v>87.5</v>
      </c>
      <c r="E65" s="64">
        <v>96.5</v>
      </c>
      <c r="F65" s="64" t="s">
        <v>514</v>
      </c>
      <c r="G65" s="67">
        <v>9</v>
      </c>
      <c r="H65" s="67"/>
      <c r="I65" s="64">
        <v>5.5</v>
      </c>
      <c r="J65" s="64">
        <v>5.5</v>
      </c>
      <c r="K65" s="64"/>
      <c r="L65" s="64"/>
      <c r="M65" s="64"/>
      <c r="N65" s="71" t="s">
        <v>272</v>
      </c>
    </row>
    <row r="66" spans="1:14" s="66" customFormat="1" ht="21.6" customHeight="1" x14ac:dyDescent="0.25">
      <c r="A66" s="69" t="s">
        <v>303</v>
      </c>
      <c r="B66" s="64" t="s">
        <v>44</v>
      </c>
      <c r="C66" s="64" t="s">
        <v>206</v>
      </c>
      <c r="D66" s="64">
        <v>90.765000000000001</v>
      </c>
      <c r="E66" s="64">
        <v>94.4</v>
      </c>
      <c r="F66" s="64" t="s">
        <v>514</v>
      </c>
      <c r="G66" s="67">
        <v>3.6350000000000051</v>
      </c>
      <c r="H66" s="67"/>
      <c r="I66" s="64">
        <v>5.5</v>
      </c>
      <c r="J66" s="64">
        <v>5.5</v>
      </c>
      <c r="K66" s="64"/>
      <c r="L66" s="64"/>
      <c r="M66" s="64"/>
      <c r="N66" s="71" t="s">
        <v>304</v>
      </c>
    </row>
    <row r="67" spans="1:14" s="66" customFormat="1" ht="21.6" customHeight="1" x14ac:dyDescent="0.25">
      <c r="A67" s="69" t="s">
        <v>305</v>
      </c>
      <c r="B67" s="64" t="s">
        <v>44</v>
      </c>
      <c r="C67" s="64" t="s">
        <v>216</v>
      </c>
      <c r="D67" s="64">
        <v>94.4</v>
      </c>
      <c r="E67" s="64">
        <v>106</v>
      </c>
      <c r="F67" s="64" t="s">
        <v>514</v>
      </c>
      <c r="G67" s="67">
        <v>11.199999999999994</v>
      </c>
      <c r="H67" s="67"/>
      <c r="I67" s="64">
        <v>5.5</v>
      </c>
      <c r="J67" s="64">
        <v>5.5</v>
      </c>
      <c r="K67" s="64"/>
      <c r="L67" s="64"/>
      <c r="M67" s="64"/>
      <c r="N67" s="71" t="s">
        <v>272</v>
      </c>
    </row>
    <row r="68" spans="1:14" s="66" customFormat="1" ht="21.6" customHeight="1" x14ac:dyDescent="0.25">
      <c r="A68" s="69" t="s">
        <v>306</v>
      </c>
      <c r="B68" s="64" t="s">
        <v>44</v>
      </c>
      <c r="C68" s="64" t="s">
        <v>206</v>
      </c>
      <c r="D68" s="64">
        <v>106</v>
      </c>
      <c r="E68" s="64">
        <v>118.765</v>
      </c>
      <c r="F68" s="64" t="s">
        <v>514</v>
      </c>
      <c r="G68" s="67">
        <v>12.765000000000001</v>
      </c>
      <c r="H68" s="67"/>
      <c r="I68" s="64">
        <v>5.5</v>
      </c>
      <c r="J68" s="64">
        <v>5.5</v>
      </c>
      <c r="K68" s="64"/>
      <c r="L68" s="64"/>
      <c r="M68" s="64"/>
      <c r="N68" s="71" t="s">
        <v>304</v>
      </c>
    </row>
    <row r="69" spans="1:14" ht="21.6" customHeight="1" x14ac:dyDescent="0.25">
      <c r="A69" s="68" t="s">
        <v>307</v>
      </c>
      <c r="B69" s="5" t="s">
        <v>47</v>
      </c>
      <c r="C69" s="5" t="s">
        <v>203</v>
      </c>
      <c r="D69" s="5">
        <v>147</v>
      </c>
      <c r="E69" s="5">
        <v>162</v>
      </c>
      <c r="F69" s="5" t="s">
        <v>514</v>
      </c>
      <c r="G69" s="6">
        <v>15</v>
      </c>
      <c r="H69" s="6"/>
      <c r="I69" s="5">
        <v>5.5</v>
      </c>
      <c r="J69" s="5">
        <v>5.5</v>
      </c>
      <c r="K69" s="5"/>
      <c r="L69" s="5"/>
      <c r="M69" s="5"/>
      <c r="N69" s="70" t="s">
        <v>283</v>
      </c>
    </row>
    <row r="70" spans="1:14" ht="21.6" customHeight="1" x14ac:dyDescent="0.25">
      <c r="A70" s="68" t="s">
        <v>308</v>
      </c>
      <c r="B70" s="5" t="s">
        <v>47</v>
      </c>
      <c r="C70" s="5" t="s">
        <v>203</v>
      </c>
      <c r="D70" s="5">
        <v>172</v>
      </c>
      <c r="E70" s="5">
        <v>184</v>
      </c>
      <c r="F70" s="5" t="s">
        <v>514</v>
      </c>
      <c r="G70" s="6">
        <v>12</v>
      </c>
      <c r="H70" s="6"/>
      <c r="I70" s="5">
        <v>5.5</v>
      </c>
      <c r="J70" s="5">
        <v>5.5</v>
      </c>
      <c r="K70" s="5"/>
      <c r="L70" s="5"/>
      <c r="M70" s="5"/>
      <c r="N70" s="70" t="s">
        <v>283</v>
      </c>
    </row>
    <row r="71" spans="1:14" ht="21.6" customHeight="1" x14ac:dyDescent="0.25">
      <c r="A71" s="68" t="s">
        <v>309</v>
      </c>
      <c r="B71" s="5" t="s">
        <v>47</v>
      </c>
      <c r="C71" s="5" t="s">
        <v>216</v>
      </c>
      <c r="D71" s="5">
        <v>184</v>
      </c>
      <c r="E71" s="5">
        <v>185</v>
      </c>
      <c r="F71" s="5" t="s">
        <v>514</v>
      </c>
      <c r="G71" s="6">
        <v>1</v>
      </c>
      <c r="H71" s="6"/>
      <c r="I71" s="5">
        <v>9</v>
      </c>
      <c r="J71" s="5">
        <v>9</v>
      </c>
      <c r="K71" s="5"/>
      <c r="L71" s="5"/>
      <c r="M71" s="5"/>
      <c r="N71" s="70" t="s">
        <v>274</v>
      </c>
    </row>
    <row r="72" spans="1:14" ht="21.6" customHeight="1" x14ac:dyDescent="0.25">
      <c r="A72" s="68" t="s">
        <v>310</v>
      </c>
      <c r="B72" s="5" t="s">
        <v>47</v>
      </c>
      <c r="C72" s="5" t="s">
        <v>203</v>
      </c>
      <c r="D72" s="5">
        <v>185</v>
      </c>
      <c r="E72" s="5">
        <v>191.3</v>
      </c>
      <c r="F72" s="5" t="s">
        <v>514</v>
      </c>
      <c r="G72" s="6">
        <v>6.3</v>
      </c>
      <c r="H72" s="6"/>
      <c r="I72" s="5">
        <v>5.5</v>
      </c>
      <c r="J72" s="5">
        <v>5.5</v>
      </c>
      <c r="K72" s="5"/>
      <c r="L72" s="5"/>
      <c r="M72" s="5"/>
      <c r="N72" s="70" t="s">
        <v>283</v>
      </c>
    </row>
    <row r="73" spans="1:14" ht="21.6" customHeight="1" x14ac:dyDescent="0.25">
      <c r="A73" s="68" t="s">
        <v>311</v>
      </c>
      <c r="B73" s="5" t="s">
        <v>47</v>
      </c>
      <c r="C73" s="5" t="s">
        <v>216</v>
      </c>
      <c r="D73" s="5">
        <v>191.3</v>
      </c>
      <c r="E73" s="5">
        <v>193.5</v>
      </c>
      <c r="F73" s="5" t="s">
        <v>514</v>
      </c>
      <c r="G73" s="6">
        <v>2.2000000000000002</v>
      </c>
      <c r="H73" s="6"/>
      <c r="I73" s="5">
        <v>15</v>
      </c>
      <c r="J73" s="5">
        <v>15</v>
      </c>
      <c r="K73" s="5"/>
      <c r="L73" s="5"/>
      <c r="M73" s="5"/>
      <c r="N73" s="70" t="s">
        <v>312</v>
      </c>
    </row>
    <row r="74" spans="1:14" ht="21.6" customHeight="1" x14ac:dyDescent="0.25">
      <c r="A74" s="68" t="s">
        <v>313</v>
      </c>
      <c r="B74" s="5" t="s">
        <v>47</v>
      </c>
      <c r="C74" s="5" t="s">
        <v>203</v>
      </c>
      <c r="D74" s="5">
        <v>193.5</v>
      </c>
      <c r="E74" s="5">
        <v>197</v>
      </c>
      <c r="F74" s="5" t="s">
        <v>514</v>
      </c>
      <c r="G74" s="6">
        <v>3.5</v>
      </c>
      <c r="H74" s="6"/>
      <c r="I74" s="5">
        <v>5.5</v>
      </c>
      <c r="J74" s="5">
        <v>5.5</v>
      </c>
      <c r="K74" s="5"/>
      <c r="L74" s="5"/>
      <c r="M74" s="5"/>
      <c r="N74" s="70" t="s">
        <v>283</v>
      </c>
    </row>
    <row r="75" spans="1:14" ht="21.6" customHeight="1" x14ac:dyDescent="0.25">
      <c r="A75" s="68" t="s">
        <v>314</v>
      </c>
      <c r="B75" s="5" t="s">
        <v>47</v>
      </c>
      <c r="C75" s="5" t="s">
        <v>216</v>
      </c>
      <c r="D75" s="5">
        <v>197</v>
      </c>
      <c r="E75" s="5">
        <v>204.56800000000001</v>
      </c>
      <c r="F75" s="5" t="s">
        <v>514</v>
      </c>
      <c r="G75" s="6">
        <v>7.57</v>
      </c>
      <c r="H75" s="6"/>
      <c r="I75" s="5">
        <v>8</v>
      </c>
      <c r="J75" s="5">
        <v>8</v>
      </c>
      <c r="K75" s="5"/>
      <c r="L75" s="5"/>
      <c r="M75" s="5"/>
      <c r="N75" s="70" t="s">
        <v>315</v>
      </c>
    </row>
    <row r="76" spans="1:14" ht="21.6" customHeight="1" x14ac:dyDescent="0.25">
      <c r="A76" s="68" t="s">
        <v>316</v>
      </c>
      <c r="B76" s="5" t="s">
        <v>47</v>
      </c>
      <c r="C76" s="5" t="s">
        <v>203</v>
      </c>
      <c r="D76" s="5">
        <v>204.56800000000001</v>
      </c>
      <c r="E76" s="5">
        <v>211</v>
      </c>
      <c r="F76" s="5" t="s">
        <v>514</v>
      </c>
      <c r="G76" s="6">
        <v>6.43</v>
      </c>
      <c r="H76" s="6"/>
      <c r="I76" s="5">
        <v>5.5</v>
      </c>
      <c r="J76" s="5">
        <v>5.5</v>
      </c>
      <c r="K76" s="5"/>
      <c r="L76" s="5"/>
      <c r="M76" s="5"/>
      <c r="N76" s="70" t="s">
        <v>283</v>
      </c>
    </row>
    <row r="77" spans="1:14" ht="21.6" customHeight="1" x14ac:dyDescent="0.25">
      <c r="A77" s="68" t="s">
        <v>317</v>
      </c>
      <c r="B77" s="5" t="s">
        <v>47</v>
      </c>
      <c r="C77" s="5" t="s">
        <v>216</v>
      </c>
      <c r="D77" s="5">
        <v>211</v>
      </c>
      <c r="E77" s="5">
        <v>214</v>
      </c>
      <c r="F77" s="5" t="s">
        <v>514</v>
      </c>
      <c r="G77" s="6">
        <v>3</v>
      </c>
      <c r="H77" s="6"/>
      <c r="I77" s="5">
        <v>9</v>
      </c>
      <c r="J77" s="5">
        <v>9</v>
      </c>
      <c r="K77" s="5"/>
      <c r="L77" s="5"/>
      <c r="M77" s="5"/>
      <c r="N77" s="70" t="s">
        <v>274</v>
      </c>
    </row>
    <row r="78" spans="1:14" ht="21.6" customHeight="1" x14ac:dyDescent="0.25">
      <c r="A78" s="68" t="s">
        <v>318</v>
      </c>
      <c r="B78" s="5" t="s">
        <v>47</v>
      </c>
      <c r="C78" s="5" t="s">
        <v>203</v>
      </c>
      <c r="D78" s="5">
        <v>214</v>
      </c>
      <c r="E78" s="5">
        <v>234.32900000000001</v>
      </c>
      <c r="F78" s="5" t="s">
        <v>514</v>
      </c>
      <c r="G78" s="6">
        <v>20.329999999999998</v>
      </c>
      <c r="H78" s="6"/>
      <c r="I78" s="5">
        <v>5.5</v>
      </c>
      <c r="J78" s="5">
        <v>5.5</v>
      </c>
      <c r="K78" s="5"/>
      <c r="L78" s="5"/>
      <c r="M78" s="5"/>
      <c r="N78" s="70" t="s">
        <v>283</v>
      </c>
    </row>
    <row r="79" spans="1:14" ht="21.6" customHeight="1" x14ac:dyDescent="0.25">
      <c r="A79" s="68" t="s">
        <v>319</v>
      </c>
      <c r="B79" s="5" t="s">
        <v>47</v>
      </c>
      <c r="C79" s="5" t="s">
        <v>216</v>
      </c>
      <c r="D79" s="5">
        <v>234.32900000000001</v>
      </c>
      <c r="E79" s="5">
        <v>236.143</v>
      </c>
      <c r="F79" s="5" t="s">
        <v>514</v>
      </c>
      <c r="G79" s="6">
        <v>1.8140000000000001</v>
      </c>
      <c r="H79" s="6"/>
      <c r="I79" s="5">
        <v>9</v>
      </c>
      <c r="J79" s="5">
        <v>9</v>
      </c>
      <c r="K79" s="5"/>
      <c r="L79" s="5"/>
      <c r="M79" s="5"/>
      <c r="N79" s="70" t="s">
        <v>274</v>
      </c>
    </row>
    <row r="80" spans="1:14" ht="21.6" customHeight="1" x14ac:dyDescent="0.25">
      <c r="A80" s="68" t="s">
        <v>320</v>
      </c>
      <c r="B80" s="5" t="s">
        <v>47</v>
      </c>
      <c r="C80" s="5" t="s">
        <v>203</v>
      </c>
      <c r="D80" s="5">
        <v>236.143</v>
      </c>
      <c r="E80" s="5">
        <v>253</v>
      </c>
      <c r="F80" s="5" t="s">
        <v>514</v>
      </c>
      <c r="G80" s="6">
        <v>16.86</v>
      </c>
      <c r="H80" s="6"/>
      <c r="I80" s="5">
        <v>5.5</v>
      </c>
      <c r="J80" s="5">
        <v>5.5</v>
      </c>
      <c r="K80" s="5"/>
      <c r="L80" s="5"/>
      <c r="M80" s="5"/>
      <c r="N80" s="70" t="s">
        <v>283</v>
      </c>
    </row>
    <row r="81" spans="1:14" ht="21.6" customHeight="1" x14ac:dyDescent="0.25">
      <c r="A81" s="68" t="s">
        <v>321</v>
      </c>
      <c r="B81" s="5" t="s">
        <v>47</v>
      </c>
      <c r="C81" s="5" t="s">
        <v>216</v>
      </c>
      <c r="D81" s="5">
        <v>253</v>
      </c>
      <c r="E81" s="5">
        <v>255</v>
      </c>
      <c r="F81" s="5" t="s">
        <v>514</v>
      </c>
      <c r="G81" s="6">
        <v>2</v>
      </c>
      <c r="H81" s="6"/>
      <c r="I81" s="5">
        <v>9</v>
      </c>
      <c r="J81" s="5">
        <v>9</v>
      </c>
      <c r="K81" s="5"/>
      <c r="L81" s="5"/>
      <c r="M81" s="5"/>
      <c r="N81" s="70" t="s">
        <v>274</v>
      </c>
    </row>
    <row r="82" spans="1:14" ht="21.6" customHeight="1" x14ac:dyDescent="0.25">
      <c r="A82" s="68" t="s">
        <v>322</v>
      </c>
      <c r="B82" s="5" t="s">
        <v>47</v>
      </c>
      <c r="C82" s="5" t="s">
        <v>203</v>
      </c>
      <c r="D82" s="5">
        <v>255</v>
      </c>
      <c r="E82" s="5">
        <v>284.60000000000002</v>
      </c>
      <c r="F82" s="5" t="s">
        <v>514</v>
      </c>
      <c r="G82" s="6">
        <v>29.6</v>
      </c>
      <c r="H82" s="6"/>
      <c r="I82" s="5">
        <v>5.5</v>
      </c>
      <c r="J82" s="5">
        <v>5.5</v>
      </c>
      <c r="K82" s="5"/>
      <c r="L82" s="5"/>
      <c r="M82" s="5"/>
      <c r="N82" s="70" t="s">
        <v>283</v>
      </c>
    </row>
    <row r="83" spans="1:14" ht="21.6" customHeight="1" x14ac:dyDescent="0.25">
      <c r="A83" s="68" t="s">
        <v>323</v>
      </c>
      <c r="B83" s="5" t="s">
        <v>47</v>
      </c>
      <c r="C83" s="5" t="s">
        <v>216</v>
      </c>
      <c r="D83" s="5">
        <v>284.60000000000002</v>
      </c>
      <c r="E83" s="5">
        <v>285.8</v>
      </c>
      <c r="F83" s="5" t="s">
        <v>514</v>
      </c>
      <c r="G83" s="6">
        <v>1.2</v>
      </c>
      <c r="H83" s="6"/>
      <c r="I83" s="5">
        <v>9</v>
      </c>
      <c r="J83" s="5">
        <v>9</v>
      </c>
      <c r="K83" s="5"/>
      <c r="L83" s="5"/>
      <c r="M83" s="5"/>
      <c r="N83" s="70" t="s">
        <v>274</v>
      </c>
    </row>
    <row r="84" spans="1:14" ht="21.6" customHeight="1" x14ac:dyDescent="0.25">
      <c r="A84" s="68" t="s">
        <v>324</v>
      </c>
      <c r="B84" s="5" t="s">
        <v>47</v>
      </c>
      <c r="C84" s="5" t="s">
        <v>203</v>
      </c>
      <c r="D84" s="5">
        <v>285.8</v>
      </c>
      <c r="E84" s="5">
        <v>300.8</v>
      </c>
      <c r="F84" s="5" t="s">
        <v>514</v>
      </c>
      <c r="G84" s="6">
        <v>15</v>
      </c>
      <c r="H84" s="6"/>
      <c r="I84" s="5">
        <v>5.5</v>
      </c>
      <c r="J84" s="5">
        <v>5.5</v>
      </c>
      <c r="K84" s="5"/>
      <c r="L84" s="5"/>
      <c r="M84" s="5"/>
      <c r="N84" s="70" t="s">
        <v>283</v>
      </c>
    </row>
    <row r="85" spans="1:14" ht="21.6" customHeight="1" x14ac:dyDescent="0.25">
      <c r="A85" s="68" t="s">
        <v>325</v>
      </c>
      <c r="B85" s="5" t="s">
        <v>47</v>
      </c>
      <c r="C85" s="5" t="s">
        <v>216</v>
      </c>
      <c r="D85" s="5">
        <v>300.8</v>
      </c>
      <c r="E85" s="5">
        <v>305.39999999999998</v>
      </c>
      <c r="F85" s="5" t="s">
        <v>514</v>
      </c>
      <c r="G85" s="6">
        <v>4.5999999999999996</v>
      </c>
      <c r="H85" s="6"/>
      <c r="I85" s="5">
        <v>9</v>
      </c>
      <c r="J85" s="5">
        <v>9</v>
      </c>
      <c r="K85" s="5"/>
      <c r="L85" s="5"/>
      <c r="M85" s="5"/>
      <c r="N85" s="70" t="s">
        <v>274</v>
      </c>
    </row>
    <row r="86" spans="1:14" ht="21.6" customHeight="1" x14ac:dyDescent="0.25">
      <c r="A86" s="68" t="s">
        <v>326</v>
      </c>
      <c r="B86" s="5" t="s">
        <v>47</v>
      </c>
      <c r="C86" s="5" t="s">
        <v>203</v>
      </c>
      <c r="D86" s="5">
        <v>305.39999999999998</v>
      </c>
      <c r="E86" s="5">
        <v>313</v>
      </c>
      <c r="F86" s="5" t="s">
        <v>514</v>
      </c>
      <c r="G86" s="6">
        <v>7.6</v>
      </c>
      <c r="H86" s="6"/>
      <c r="I86" s="5">
        <v>5.5</v>
      </c>
      <c r="J86" s="5">
        <v>5.5</v>
      </c>
      <c r="K86" s="5"/>
      <c r="L86" s="5"/>
      <c r="M86" s="5"/>
      <c r="N86" s="70" t="s">
        <v>283</v>
      </c>
    </row>
    <row r="87" spans="1:14" ht="21.6" customHeight="1" x14ac:dyDescent="0.25">
      <c r="A87" s="68" t="s">
        <v>327</v>
      </c>
      <c r="B87" s="5" t="s">
        <v>47</v>
      </c>
      <c r="C87" s="5" t="s">
        <v>216</v>
      </c>
      <c r="D87" s="5">
        <v>313</v>
      </c>
      <c r="E87" s="5">
        <v>314</v>
      </c>
      <c r="F87" s="5" t="s">
        <v>514</v>
      </c>
      <c r="G87" s="6">
        <v>1</v>
      </c>
      <c r="H87" s="6"/>
      <c r="I87" s="5">
        <v>9</v>
      </c>
      <c r="J87" s="5">
        <v>9</v>
      </c>
      <c r="K87" s="5"/>
      <c r="L87" s="5"/>
      <c r="M87" s="5"/>
      <c r="N87" s="70" t="s">
        <v>274</v>
      </c>
    </row>
    <row r="88" spans="1:14" ht="21.6" customHeight="1" x14ac:dyDescent="0.25">
      <c r="A88" s="68" t="s">
        <v>328</v>
      </c>
      <c r="B88" s="5" t="s">
        <v>47</v>
      </c>
      <c r="C88" s="5" t="s">
        <v>203</v>
      </c>
      <c r="D88" s="5">
        <v>314</v>
      </c>
      <c r="E88" s="5">
        <v>332</v>
      </c>
      <c r="F88" s="5" t="s">
        <v>514</v>
      </c>
      <c r="G88" s="6">
        <v>18</v>
      </c>
      <c r="H88" s="6"/>
      <c r="I88" s="5">
        <v>5.5</v>
      </c>
      <c r="J88" s="5">
        <v>5.5</v>
      </c>
      <c r="K88" s="5"/>
      <c r="L88" s="5"/>
      <c r="M88" s="5"/>
      <c r="N88" s="70" t="s">
        <v>283</v>
      </c>
    </row>
    <row r="89" spans="1:14" ht="21.6" customHeight="1" x14ac:dyDescent="0.25">
      <c r="A89" s="68" t="s">
        <v>329</v>
      </c>
      <c r="B89" s="5" t="s">
        <v>51</v>
      </c>
      <c r="C89" s="5" t="s">
        <v>216</v>
      </c>
      <c r="D89" s="5">
        <v>0</v>
      </c>
      <c r="E89" s="5">
        <v>7.5</v>
      </c>
      <c r="F89" s="5" t="s">
        <v>514</v>
      </c>
      <c r="G89" s="7">
        <v>7.5</v>
      </c>
      <c r="H89" s="7"/>
      <c r="I89" s="5">
        <v>8</v>
      </c>
      <c r="J89" s="5">
        <v>8</v>
      </c>
      <c r="K89" s="5"/>
      <c r="L89" s="5"/>
      <c r="M89" s="5"/>
      <c r="N89" s="70" t="s">
        <v>330</v>
      </c>
    </row>
    <row r="90" spans="1:14" ht="21.6" customHeight="1" x14ac:dyDescent="0.25">
      <c r="A90" s="68" t="s">
        <v>331</v>
      </c>
      <c r="B90" s="5" t="s">
        <v>51</v>
      </c>
      <c r="C90" s="5" t="s">
        <v>332</v>
      </c>
      <c r="D90" s="5">
        <v>7.5</v>
      </c>
      <c r="E90" s="5">
        <v>28</v>
      </c>
      <c r="F90" s="1" t="s">
        <v>515</v>
      </c>
      <c r="G90" s="7">
        <v>20.5</v>
      </c>
      <c r="H90" s="7"/>
      <c r="I90" s="5"/>
      <c r="J90" s="5"/>
      <c r="K90" s="5"/>
      <c r="L90" s="5"/>
      <c r="M90" s="5"/>
      <c r="N90" s="70" t="s">
        <v>333</v>
      </c>
    </row>
    <row r="91" spans="1:14" ht="21.6" customHeight="1" x14ac:dyDescent="0.25">
      <c r="A91" s="68" t="s">
        <v>334</v>
      </c>
      <c r="B91" s="5" t="s">
        <v>51</v>
      </c>
      <c r="C91" s="5" t="s">
        <v>203</v>
      </c>
      <c r="D91" s="5">
        <v>28</v>
      </c>
      <c r="E91" s="5">
        <v>37.799999999999997</v>
      </c>
      <c r="F91" s="5" t="s">
        <v>514</v>
      </c>
      <c r="G91" s="7">
        <v>11.8</v>
      </c>
      <c r="H91" s="7"/>
      <c r="I91" s="5">
        <v>6.5</v>
      </c>
      <c r="J91" s="5">
        <v>6.5</v>
      </c>
      <c r="K91" s="5"/>
      <c r="L91" s="5"/>
      <c r="M91" s="5"/>
      <c r="N91" s="70" t="s">
        <v>335</v>
      </c>
    </row>
    <row r="92" spans="1:14" ht="21.6" customHeight="1" x14ac:dyDescent="0.25">
      <c r="A92" s="68" t="s">
        <v>336</v>
      </c>
      <c r="B92" s="5" t="s">
        <v>56</v>
      </c>
      <c r="C92" s="5" t="s">
        <v>206</v>
      </c>
      <c r="D92" s="5">
        <v>0</v>
      </c>
      <c r="E92" s="5">
        <v>10.8</v>
      </c>
      <c r="F92" s="5" t="s">
        <v>514</v>
      </c>
      <c r="G92" s="6">
        <v>10.8</v>
      </c>
      <c r="H92" s="6"/>
      <c r="I92" s="5">
        <v>3.5</v>
      </c>
      <c r="J92" s="5">
        <v>3.5</v>
      </c>
      <c r="K92" s="5"/>
      <c r="L92" s="5"/>
      <c r="M92" s="5"/>
      <c r="N92" s="70" t="s">
        <v>337</v>
      </c>
    </row>
    <row r="93" spans="1:14" ht="21.6" customHeight="1" x14ac:dyDescent="0.25">
      <c r="A93" s="68" t="s">
        <v>338</v>
      </c>
      <c r="B93" s="5" t="s">
        <v>56</v>
      </c>
      <c r="C93" s="5" t="s">
        <v>332</v>
      </c>
      <c r="D93" s="5">
        <v>10.8</v>
      </c>
      <c r="E93" s="5">
        <v>50.6</v>
      </c>
      <c r="F93" s="1" t="s">
        <v>515</v>
      </c>
      <c r="G93" s="6">
        <v>39.799999999999997</v>
      </c>
      <c r="H93" s="6"/>
      <c r="I93" s="5"/>
      <c r="J93" s="5"/>
      <c r="K93" s="5"/>
      <c r="L93" s="5"/>
      <c r="M93" s="5"/>
      <c r="N93" s="70" t="s">
        <v>333</v>
      </c>
    </row>
    <row r="94" spans="1:14" ht="21.6" customHeight="1" x14ac:dyDescent="0.25">
      <c r="A94" s="68" t="s">
        <v>339</v>
      </c>
      <c r="B94" s="5" t="s">
        <v>60</v>
      </c>
      <c r="C94" s="5" t="s">
        <v>216</v>
      </c>
      <c r="D94" s="5">
        <v>0</v>
      </c>
      <c r="E94" s="5">
        <v>0.78600000000000003</v>
      </c>
      <c r="F94" s="1" t="s">
        <v>514</v>
      </c>
      <c r="G94" s="6">
        <v>0.78600000000000003</v>
      </c>
      <c r="H94" s="6"/>
      <c r="I94" s="5">
        <v>9</v>
      </c>
      <c r="J94" s="5">
        <v>9</v>
      </c>
      <c r="K94" s="5"/>
      <c r="L94" s="5"/>
      <c r="M94" s="5"/>
      <c r="N94" s="70" t="s">
        <v>340</v>
      </c>
    </row>
    <row r="95" spans="1:14" ht="21.6" customHeight="1" x14ac:dyDescent="0.25">
      <c r="A95" s="68" t="s">
        <v>341</v>
      </c>
      <c r="B95" s="5" t="s">
        <v>60</v>
      </c>
      <c r="C95" s="5" t="s">
        <v>206</v>
      </c>
      <c r="D95" s="5">
        <v>0.78600000000000003</v>
      </c>
      <c r="E95" s="5">
        <v>28</v>
      </c>
      <c r="F95" s="1" t="s">
        <v>514</v>
      </c>
      <c r="G95" s="6">
        <v>27.213999999999999</v>
      </c>
      <c r="H95" s="6"/>
      <c r="I95" s="5">
        <v>3.5</v>
      </c>
      <c r="J95" s="5">
        <v>5</v>
      </c>
      <c r="K95" s="5"/>
      <c r="L95" s="5"/>
      <c r="M95" s="5"/>
      <c r="N95" s="70" t="s">
        <v>342</v>
      </c>
    </row>
    <row r="96" spans="1:14" ht="21.6" customHeight="1" x14ac:dyDescent="0.25">
      <c r="A96" s="68" t="s">
        <v>343</v>
      </c>
      <c r="B96" s="5" t="s">
        <v>60</v>
      </c>
      <c r="C96" s="5" t="s">
        <v>332</v>
      </c>
      <c r="D96" s="5">
        <v>28</v>
      </c>
      <c r="E96" s="5">
        <v>37.6</v>
      </c>
      <c r="F96" s="1" t="s">
        <v>515</v>
      </c>
      <c r="G96" s="6">
        <v>9.6</v>
      </c>
      <c r="H96" s="6"/>
      <c r="I96" s="5"/>
      <c r="J96" s="5"/>
      <c r="K96" s="5"/>
      <c r="L96" s="5"/>
      <c r="M96" s="5"/>
      <c r="N96" s="70" t="s">
        <v>333</v>
      </c>
    </row>
    <row r="97" spans="1:14" ht="21.6" customHeight="1" x14ac:dyDescent="0.25">
      <c r="A97" s="68" t="s">
        <v>344</v>
      </c>
      <c r="B97" s="5" t="s">
        <v>64</v>
      </c>
      <c r="C97" s="5" t="s">
        <v>332</v>
      </c>
      <c r="D97" s="5">
        <v>0</v>
      </c>
      <c r="E97" s="5">
        <v>14.4</v>
      </c>
      <c r="F97" s="1" t="s">
        <v>516</v>
      </c>
      <c r="G97" s="7">
        <v>14.4</v>
      </c>
      <c r="H97" s="7"/>
      <c r="I97" s="5">
        <v>4</v>
      </c>
      <c r="J97" s="5">
        <v>4</v>
      </c>
      <c r="K97" s="5"/>
      <c r="L97" s="5"/>
      <c r="M97" s="5"/>
      <c r="N97" s="70" t="s">
        <v>345</v>
      </c>
    </row>
    <row r="98" spans="1:14" ht="21.6" customHeight="1" x14ac:dyDescent="0.25">
      <c r="A98" s="68" t="s">
        <v>346</v>
      </c>
      <c r="B98" s="5" t="s">
        <v>64</v>
      </c>
      <c r="C98" s="5" t="s">
        <v>203</v>
      </c>
      <c r="D98" s="5">
        <v>0</v>
      </c>
      <c r="E98" s="5">
        <v>13.3</v>
      </c>
      <c r="F98" s="1" t="s">
        <v>514</v>
      </c>
      <c r="G98" s="6">
        <v>13.3</v>
      </c>
      <c r="H98" s="6"/>
      <c r="I98" s="5">
        <v>5.5</v>
      </c>
      <c r="J98" s="5">
        <v>5.5</v>
      </c>
      <c r="K98" s="5"/>
      <c r="L98" s="5"/>
      <c r="M98" s="5"/>
      <c r="N98" s="70" t="s">
        <v>347</v>
      </c>
    </row>
    <row r="99" spans="1:14" ht="21.6" customHeight="1" x14ac:dyDescent="0.25">
      <c r="A99" s="68" t="s">
        <v>348</v>
      </c>
      <c r="B99" s="5" t="s">
        <v>64</v>
      </c>
      <c r="C99" s="5" t="s">
        <v>206</v>
      </c>
      <c r="D99" s="5">
        <v>13.3</v>
      </c>
      <c r="E99" s="5">
        <v>21.698</v>
      </c>
      <c r="F99" s="1" t="s">
        <v>514</v>
      </c>
      <c r="G99" s="6">
        <v>8.4</v>
      </c>
      <c r="H99" s="6"/>
      <c r="I99" s="5">
        <v>5.5</v>
      </c>
      <c r="J99" s="5">
        <v>5.5</v>
      </c>
      <c r="K99" s="5"/>
      <c r="L99" s="5"/>
      <c r="M99" s="5"/>
      <c r="N99" s="70" t="s">
        <v>349</v>
      </c>
    </row>
    <row r="100" spans="1:14" ht="21.6" customHeight="1" x14ac:dyDescent="0.25">
      <c r="A100" s="68" t="s">
        <v>350</v>
      </c>
      <c r="B100" s="5" t="s">
        <v>64</v>
      </c>
      <c r="C100" s="5" t="s">
        <v>206</v>
      </c>
      <c r="D100" s="5">
        <v>21.698</v>
      </c>
      <c r="E100" s="5">
        <v>45.75</v>
      </c>
      <c r="F100" s="1" t="s">
        <v>514</v>
      </c>
      <c r="G100" s="6">
        <v>24.05</v>
      </c>
      <c r="H100" s="6"/>
      <c r="I100" s="5">
        <v>6.5</v>
      </c>
      <c r="J100" s="5">
        <v>6.5</v>
      </c>
      <c r="K100" s="5"/>
      <c r="L100" s="5"/>
      <c r="M100" s="5"/>
      <c r="N100" s="70" t="s">
        <v>351</v>
      </c>
    </row>
    <row r="101" spans="1:14" ht="21.6" customHeight="1" x14ac:dyDescent="0.25">
      <c r="A101" s="68" t="s">
        <v>352</v>
      </c>
      <c r="B101" s="5" t="s">
        <v>64</v>
      </c>
      <c r="C101" s="5" t="s">
        <v>216</v>
      </c>
      <c r="D101" s="5">
        <v>45.75</v>
      </c>
      <c r="E101" s="5">
        <v>54.1</v>
      </c>
      <c r="F101" s="1" t="s">
        <v>514</v>
      </c>
      <c r="G101" s="6">
        <v>8.35</v>
      </c>
      <c r="H101" s="6"/>
      <c r="I101" s="5">
        <v>8</v>
      </c>
      <c r="J101" s="5">
        <v>8</v>
      </c>
      <c r="K101" s="5"/>
      <c r="L101" s="5"/>
      <c r="M101" s="5"/>
      <c r="N101" s="70" t="s">
        <v>353</v>
      </c>
    </row>
    <row r="102" spans="1:14" ht="21.6" customHeight="1" x14ac:dyDescent="0.25">
      <c r="A102" s="68" t="s">
        <v>354</v>
      </c>
      <c r="B102" s="5" t="s">
        <v>67</v>
      </c>
      <c r="C102" s="5" t="s">
        <v>332</v>
      </c>
      <c r="D102" s="5">
        <v>0</v>
      </c>
      <c r="E102" s="5">
        <v>13</v>
      </c>
      <c r="F102" s="1" t="s">
        <v>515</v>
      </c>
      <c r="G102" s="7">
        <v>13</v>
      </c>
      <c r="H102" s="7"/>
      <c r="I102" s="5"/>
      <c r="J102" s="5"/>
      <c r="K102" s="5"/>
      <c r="L102" s="5"/>
      <c r="M102" s="5"/>
      <c r="N102" s="70" t="s">
        <v>333</v>
      </c>
    </row>
    <row r="103" spans="1:14" ht="21.6" customHeight="1" x14ac:dyDescent="0.25">
      <c r="A103" s="68" t="s">
        <v>355</v>
      </c>
      <c r="B103" s="5" t="s">
        <v>67</v>
      </c>
      <c r="C103" s="5" t="s">
        <v>332</v>
      </c>
      <c r="D103" s="5">
        <v>13</v>
      </c>
      <c r="E103" s="5">
        <v>41</v>
      </c>
      <c r="F103" s="1" t="s">
        <v>525</v>
      </c>
      <c r="G103" s="7">
        <v>28</v>
      </c>
      <c r="H103" s="7"/>
      <c r="I103" s="5"/>
      <c r="J103" s="5"/>
      <c r="K103" s="5"/>
      <c r="L103" s="5"/>
      <c r="M103" s="5"/>
      <c r="N103" s="70" t="s">
        <v>524</v>
      </c>
    </row>
    <row r="104" spans="1:14" ht="21.6" customHeight="1" x14ac:dyDescent="0.25">
      <c r="A104" s="68" t="s">
        <v>356</v>
      </c>
      <c r="B104" s="5" t="s">
        <v>67</v>
      </c>
      <c r="C104" s="5" t="s">
        <v>203</v>
      </c>
      <c r="D104" s="5">
        <v>41</v>
      </c>
      <c r="E104" s="5">
        <v>55</v>
      </c>
      <c r="F104" s="1" t="s">
        <v>514</v>
      </c>
      <c r="G104" s="7">
        <v>14</v>
      </c>
      <c r="H104" s="7"/>
      <c r="I104" s="5">
        <v>3</v>
      </c>
      <c r="J104" s="5">
        <v>3</v>
      </c>
      <c r="K104" s="5"/>
      <c r="L104" s="5"/>
      <c r="M104" s="5"/>
      <c r="N104" s="70" t="s">
        <v>357</v>
      </c>
    </row>
    <row r="105" spans="1:14" ht="21.6" customHeight="1" x14ac:dyDescent="0.25">
      <c r="A105" s="68" t="s">
        <v>358</v>
      </c>
      <c r="B105" s="5" t="s">
        <v>71</v>
      </c>
      <c r="C105" s="5" t="s">
        <v>332</v>
      </c>
      <c r="D105" s="5">
        <v>0</v>
      </c>
      <c r="E105" s="5">
        <v>18.3</v>
      </c>
      <c r="F105" s="1" t="s">
        <v>518</v>
      </c>
      <c r="G105" s="7">
        <v>18.3</v>
      </c>
      <c r="H105" s="7"/>
      <c r="I105" s="5">
        <v>6.5</v>
      </c>
      <c r="J105" s="5">
        <v>6.5</v>
      </c>
      <c r="K105" s="5"/>
      <c r="L105" s="5"/>
      <c r="M105" s="5"/>
      <c r="N105" s="70" t="s">
        <v>359</v>
      </c>
    </row>
    <row r="106" spans="1:14" ht="21.6" customHeight="1" x14ac:dyDescent="0.25">
      <c r="A106" s="68" t="s">
        <v>360</v>
      </c>
      <c r="B106" s="5" t="s">
        <v>71</v>
      </c>
      <c r="C106" s="5" t="s">
        <v>332</v>
      </c>
      <c r="D106" s="5">
        <v>21.1</v>
      </c>
      <c r="E106" s="5">
        <v>26.1</v>
      </c>
      <c r="F106" s="1" t="s">
        <v>518</v>
      </c>
      <c r="G106" s="7">
        <v>10</v>
      </c>
      <c r="H106" s="7"/>
      <c r="I106" s="5">
        <v>6.5</v>
      </c>
      <c r="J106" s="5">
        <v>6.5</v>
      </c>
      <c r="K106" s="5"/>
      <c r="L106" s="5"/>
      <c r="M106" s="5"/>
      <c r="N106" s="70" t="s">
        <v>359</v>
      </c>
    </row>
    <row r="107" spans="1:14" ht="21.6" customHeight="1" x14ac:dyDescent="0.25">
      <c r="A107" s="68" t="s">
        <v>361</v>
      </c>
      <c r="B107" s="5" t="s">
        <v>71</v>
      </c>
      <c r="C107" s="5" t="s">
        <v>332</v>
      </c>
      <c r="D107" s="5">
        <v>26.1</v>
      </c>
      <c r="E107" s="5">
        <v>69.099999999999994</v>
      </c>
      <c r="F107" s="1" t="s">
        <v>516</v>
      </c>
      <c r="G107" s="7">
        <v>43</v>
      </c>
      <c r="H107" s="7"/>
      <c r="I107" s="5">
        <v>3.5</v>
      </c>
      <c r="J107" s="5">
        <v>3.5</v>
      </c>
      <c r="K107" s="5"/>
      <c r="L107" s="5"/>
      <c r="M107" s="5"/>
      <c r="N107" s="70" t="s">
        <v>362</v>
      </c>
    </row>
    <row r="108" spans="1:14" ht="21.6" customHeight="1" x14ac:dyDescent="0.25">
      <c r="A108" s="68" t="s">
        <v>363</v>
      </c>
      <c r="B108" s="5" t="s">
        <v>75</v>
      </c>
      <c r="C108" s="5" t="s">
        <v>332</v>
      </c>
      <c r="D108" s="5">
        <v>0</v>
      </c>
      <c r="E108" s="5">
        <v>2.9</v>
      </c>
      <c r="F108" s="1" t="s">
        <v>515</v>
      </c>
      <c r="G108" s="7">
        <v>2.9</v>
      </c>
      <c r="H108" s="7"/>
      <c r="I108" s="5">
        <v>5.5</v>
      </c>
      <c r="J108" s="5">
        <v>5.5</v>
      </c>
      <c r="K108" s="5"/>
      <c r="L108" s="5"/>
      <c r="M108" s="5"/>
      <c r="N108" s="70" t="s">
        <v>333</v>
      </c>
    </row>
    <row r="109" spans="1:14" ht="21.6" customHeight="1" x14ac:dyDescent="0.25">
      <c r="A109" s="68" t="s">
        <v>364</v>
      </c>
      <c r="B109" s="5" t="s">
        <v>75</v>
      </c>
      <c r="C109" s="5" t="s">
        <v>332</v>
      </c>
      <c r="D109" s="5">
        <v>2.9</v>
      </c>
      <c r="E109" s="5">
        <v>8.5</v>
      </c>
      <c r="F109" s="1" t="s">
        <v>516</v>
      </c>
      <c r="G109" s="7">
        <v>5.6</v>
      </c>
      <c r="H109" s="7"/>
      <c r="I109" s="5">
        <v>3</v>
      </c>
      <c r="J109" s="5">
        <v>3</v>
      </c>
      <c r="K109" s="5"/>
      <c r="L109" s="5"/>
      <c r="M109" s="5"/>
      <c r="N109" s="70" t="s">
        <v>365</v>
      </c>
    </row>
    <row r="110" spans="1:14" ht="21.6" customHeight="1" x14ac:dyDescent="0.25">
      <c r="A110" s="68" t="s">
        <v>366</v>
      </c>
      <c r="B110" s="5" t="s">
        <v>75</v>
      </c>
      <c r="C110" s="5" t="s">
        <v>206</v>
      </c>
      <c r="D110" s="5">
        <v>8.5</v>
      </c>
      <c r="E110" s="5">
        <v>17</v>
      </c>
      <c r="F110" s="1" t="s">
        <v>514</v>
      </c>
      <c r="G110" s="7">
        <v>8.5</v>
      </c>
      <c r="H110" s="7"/>
      <c r="I110" s="5">
        <v>6.5</v>
      </c>
      <c r="J110" s="5">
        <v>6.5</v>
      </c>
      <c r="K110" s="5"/>
      <c r="L110" s="5"/>
      <c r="M110" s="5"/>
      <c r="N110" s="70" t="s">
        <v>367</v>
      </c>
    </row>
    <row r="111" spans="1:14" ht="21.6" customHeight="1" x14ac:dyDescent="0.25">
      <c r="A111" s="68" t="s">
        <v>368</v>
      </c>
      <c r="B111" s="5" t="s">
        <v>75</v>
      </c>
      <c r="C111" s="5" t="s">
        <v>206</v>
      </c>
      <c r="D111" s="5">
        <v>17</v>
      </c>
      <c r="E111" s="5">
        <v>54</v>
      </c>
      <c r="F111" s="1" t="s">
        <v>514</v>
      </c>
      <c r="G111" s="7">
        <v>37</v>
      </c>
      <c r="H111" s="7"/>
      <c r="I111" s="5">
        <v>3.5</v>
      </c>
      <c r="J111" s="5">
        <v>3.5</v>
      </c>
      <c r="K111" s="5"/>
      <c r="L111" s="5"/>
      <c r="M111" s="5"/>
      <c r="N111" s="70" t="s">
        <v>369</v>
      </c>
    </row>
    <row r="112" spans="1:14" ht="21.6" customHeight="1" x14ac:dyDescent="0.25">
      <c r="A112" s="68" t="s">
        <v>370</v>
      </c>
      <c r="B112" s="5" t="s">
        <v>75</v>
      </c>
      <c r="C112" s="5" t="s">
        <v>332</v>
      </c>
      <c r="D112" s="5">
        <v>54</v>
      </c>
      <c r="E112" s="5">
        <v>90</v>
      </c>
      <c r="F112" s="1" t="s">
        <v>515</v>
      </c>
      <c r="G112" s="7">
        <v>36</v>
      </c>
      <c r="H112" s="7"/>
      <c r="I112" s="5">
        <v>6.5</v>
      </c>
      <c r="J112" s="5">
        <v>6.5</v>
      </c>
      <c r="K112" s="5"/>
      <c r="L112" s="5"/>
      <c r="M112" s="5"/>
      <c r="N112" s="70" t="s">
        <v>333</v>
      </c>
    </row>
    <row r="113" spans="1:14" ht="21.6" customHeight="1" x14ac:dyDescent="0.25">
      <c r="A113" s="68" t="s">
        <v>371</v>
      </c>
      <c r="B113" s="5" t="s">
        <v>75</v>
      </c>
      <c r="C113" s="5" t="s">
        <v>372</v>
      </c>
      <c r="D113" s="5">
        <v>90</v>
      </c>
      <c r="E113" s="5">
        <v>109</v>
      </c>
      <c r="F113" s="1" t="s">
        <v>514</v>
      </c>
      <c r="G113" s="7">
        <v>19</v>
      </c>
      <c r="H113" s="7"/>
      <c r="I113" s="5">
        <v>3.5</v>
      </c>
      <c r="J113" s="5">
        <v>3.5</v>
      </c>
      <c r="K113" s="5"/>
      <c r="L113" s="5"/>
      <c r="M113" s="5"/>
      <c r="N113" s="70" t="s">
        <v>373</v>
      </c>
    </row>
    <row r="114" spans="1:14" ht="21.6" customHeight="1" x14ac:dyDescent="0.25">
      <c r="A114" s="68" t="s">
        <v>374</v>
      </c>
      <c r="B114" s="5" t="s">
        <v>79</v>
      </c>
      <c r="C114" s="5" t="s">
        <v>332</v>
      </c>
      <c r="D114" s="5">
        <v>0</v>
      </c>
      <c r="E114" s="5">
        <v>15</v>
      </c>
      <c r="F114" s="1" t="s">
        <v>515</v>
      </c>
      <c r="G114" s="7">
        <v>15</v>
      </c>
      <c r="H114" s="7"/>
      <c r="I114" s="5">
        <v>6.5</v>
      </c>
      <c r="J114" s="5">
        <v>6.5</v>
      </c>
      <c r="K114" s="5"/>
      <c r="L114" s="5"/>
      <c r="M114" s="5"/>
      <c r="N114" s="70" t="s">
        <v>333</v>
      </c>
    </row>
    <row r="115" spans="1:14" ht="21.6" customHeight="1" x14ac:dyDescent="0.25">
      <c r="A115" s="68" t="s">
        <v>375</v>
      </c>
      <c r="B115" s="5" t="s">
        <v>79</v>
      </c>
      <c r="C115" s="5" t="s">
        <v>206</v>
      </c>
      <c r="D115" s="5">
        <v>15</v>
      </c>
      <c r="E115" s="5">
        <v>43.5</v>
      </c>
      <c r="F115" s="1" t="s">
        <v>514</v>
      </c>
      <c r="G115" s="7">
        <v>28.5</v>
      </c>
      <c r="H115" s="7"/>
      <c r="I115" s="5">
        <v>3.5</v>
      </c>
      <c r="J115" s="5">
        <v>3.5</v>
      </c>
      <c r="K115" s="5"/>
      <c r="L115" s="5"/>
      <c r="M115" s="5"/>
      <c r="N115" s="70" t="s">
        <v>337</v>
      </c>
    </row>
    <row r="116" spans="1:14" ht="21.6" customHeight="1" x14ac:dyDescent="0.25">
      <c r="A116" s="68" t="s">
        <v>376</v>
      </c>
      <c r="B116" s="5" t="s">
        <v>79</v>
      </c>
      <c r="C116" s="5" t="s">
        <v>203</v>
      </c>
      <c r="D116" s="5">
        <v>47.1</v>
      </c>
      <c r="E116" s="5">
        <v>55.7</v>
      </c>
      <c r="F116" s="1" t="s">
        <v>514</v>
      </c>
      <c r="G116" s="7">
        <v>8.6999999999999993</v>
      </c>
      <c r="H116" s="7"/>
      <c r="I116" s="5">
        <v>7.5</v>
      </c>
      <c r="J116" s="5">
        <v>7.5</v>
      </c>
      <c r="K116" s="5"/>
      <c r="L116" s="5"/>
      <c r="M116" s="5"/>
      <c r="N116" s="70" t="s">
        <v>377</v>
      </c>
    </row>
    <row r="117" spans="1:14" ht="21.6" customHeight="1" x14ac:dyDescent="0.25">
      <c r="A117" s="68" t="s">
        <v>378</v>
      </c>
      <c r="B117" s="5" t="s">
        <v>79</v>
      </c>
      <c r="C117" s="5" t="s">
        <v>332</v>
      </c>
      <c r="D117" s="5">
        <v>55.7</v>
      </c>
      <c r="E117" s="5">
        <v>78.5</v>
      </c>
      <c r="F117" s="1" t="s">
        <v>514</v>
      </c>
      <c r="G117" s="7">
        <v>20.8</v>
      </c>
      <c r="H117" s="7"/>
      <c r="I117" s="5">
        <v>6.5</v>
      </c>
      <c r="J117" s="5">
        <v>6.5</v>
      </c>
      <c r="K117" s="5"/>
      <c r="L117" s="5"/>
      <c r="M117" s="5"/>
      <c r="N117" s="70" t="s">
        <v>379</v>
      </c>
    </row>
    <row r="118" spans="1:14" ht="21.6" customHeight="1" x14ac:dyDescent="0.25">
      <c r="A118" s="68" t="s">
        <v>380</v>
      </c>
      <c r="B118" s="5" t="s">
        <v>83</v>
      </c>
      <c r="C118" s="5" t="s">
        <v>332</v>
      </c>
      <c r="D118" s="5">
        <v>0</v>
      </c>
      <c r="E118" s="5">
        <v>27.5</v>
      </c>
      <c r="F118" s="1" t="s">
        <v>515</v>
      </c>
      <c r="G118" s="6">
        <v>27</v>
      </c>
      <c r="H118" s="6"/>
      <c r="I118" s="5"/>
      <c r="J118" s="5"/>
      <c r="K118" s="5"/>
      <c r="L118" s="5"/>
      <c r="M118" s="5"/>
      <c r="N118" s="70" t="s">
        <v>223</v>
      </c>
    </row>
    <row r="119" spans="1:14" ht="21.6" customHeight="1" x14ac:dyDescent="0.25">
      <c r="A119" s="68" t="s">
        <v>381</v>
      </c>
      <c r="B119" s="5" t="s">
        <v>83</v>
      </c>
      <c r="C119" s="5" t="s">
        <v>372</v>
      </c>
      <c r="D119" s="5">
        <v>27.5</v>
      </c>
      <c r="E119" s="5">
        <v>58</v>
      </c>
      <c r="F119" s="1" t="s">
        <v>514</v>
      </c>
      <c r="G119" s="6">
        <v>30.5</v>
      </c>
      <c r="H119" s="6"/>
      <c r="I119" s="5">
        <v>3.5</v>
      </c>
      <c r="J119" s="5">
        <v>3.5</v>
      </c>
      <c r="K119" s="5"/>
      <c r="L119" s="5"/>
      <c r="M119" s="5"/>
      <c r="N119" s="70" t="s">
        <v>337</v>
      </c>
    </row>
    <row r="120" spans="1:14" ht="21.6" customHeight="1" x14ac:dyDescent="0.25">
      <c r="A120" s="68" t="s">
        <v>382</v>
      </c>
      <c r="B120" s="5" t="s">
        <v>87</v>
      </c>
      <c r="C120" s="5" t="s">
        <v>203</v>
      </c>
      <c r="D120" s="5">
        <v>0</v>
      </c>
      <c r="E120" s="5">
        <v>0.4</v>
      </c>
      <c r="F120" s="1" t="s">
        <v>514</v>
      </c>
      <c r="G120" s="7">
        <v>0.4</v>
      </c>
      <c r="H120" s="7"/>
      <c r="I120" s="5">
        <v>9</v>
      </c>
      <c r="J120" s="5">
        <v>9</v>
      </c>
      <c r="K120" s="5"/>
      <c r="L120" s="5"/>
      <c r="M120" s="5"/>
      <c r="N120" s="70" t="s">
        <v>383</v>
      </c>
    </row>
    <row r="121" spans="1:14" ht="21.6" customHeight="1" x14ac:dyDescent="0.25">
      <c r="A121" s="68" t="s">
        <v>384</v>
      </c>
      <c r="B121" s="5" t="s">
        <v>87</v>
      </c>
      <c r="C121" s="5" t="s">
        <v>206</v>
      </c>
      <c r="D121" s="5">
        <v>0.4</v>
      </c>
      <c r="E121" s="5">
        <v>18.399999999999999</v>
      </c>
      <c r="F121" s="1" t="s">
        <v>514</v>
      </c>
      <c r="G121" s="7">
        <v>17.399999999999999</v>
      </c>
      <c r="H121" s="7"/>
      <c r="I121" s="5">
        <v>6.5</v>
      </c>
      <c r="J121" s="5">
        <v>6.5</v>
      </c>
      <c r="K121" s="5"/>
      <c r="L121" s="5"/>
      <c r="M121" s="5"/>
      <c r="N121" s="70" t="s">
        <v>367</v>
      </c>
    </row>
    <row r="122" spans="1:14" ht="21.6" customHeight="1" x14ac:dyDescent="0.25">
      <c r="A122" s="68" t="s">
        <v>385</v>
      </c>
      <c r="B122" s="5" t="s">
        <v>91</v>
      </c>
      <c r="C122" s="5" t="s">
        <v>216</v>
      </c>
      <c r="D122" s="5">
        <v>0</v>
      </c>
      <c r="E122" s="5">
        <v>1.97</v>
      </c>
      <c r="F122" s="1" t="s">
        <v>514</v>
      </c>
      <c r="G122" s="7">
        <v>1.97</v>
      </c>
      <c r="H122" s="7"/>
      <c r="I122" s="5">
        <v>7</v>
      </c>
      <c r="J122" s="5">
        <v>15</v>
      </c>
      <c r="K122" s="5"/>
      <c r="L122" s="5"/>
      <c r="M122" s="5"/>
      <c r="N122" s="70" t="s">
        <v>386</v>
      </c>
    </row>
    <row r="123" spans="1:14" ht="21.6" customHeight="1" x14ac:dyDescent="0.25">
      <c r="A123" s="68" t="s">
        <v>387</v>
      </c>
      <c r="B123" s="5" t="s">
        <v>91</v>
      </c>
      <c r="C123" s="5" t="s">
        <v>206</v>
      </c>
      <c r="D123" s="5">
        <v>1.97</v>
      </c>
      <c r="E123" s="5">
        <v>23.42</v>
      </c>
      <c r="F123" s="1" t="s">
        <v>514</v>
      </c>
      <c r="G123" s="7">
        <v>21.45</v>
      </c>
      <c r="H123" s="7"/>
      <c r="I123" s="5">
        <v>3.5</v>
      </c>
      <c r="J123" s="5">
        <v>3.5</v>
      </c>
      <c r="K123" s="5"/>
      <c r="L123" s="5"/>
      <c r="M123" s="5"/>
      <c r="N123" s="70" t="s">
        <v>388</v>
      </c>
    </row>
    <row r="124" spans="1:14" ht="21.6" customHeight="1" x14ac:dyDescent="0.25">
      <c r="A124" s="68" t="s">
        <v>389</v>
      </c>
      <c r="B124" s="5" t="s">
        <v>91</v>
      </c>
      <c r="C124" s="5" t="s">
        <v>332</v>
      </c>
      <c r="D124" s="5">
        <v>23.42</v>
      </c>
      <c r="E124" s="5">
        <v>25.82</v>
      </c>
      <c r="F124" s="1" t="s">
        <v>514</v>
      </c>
      <c r="G124" s="7">
        <v>2.4</v>
      </c>
      <c r="H124" s="7"/>
      <c r="I124" s="5"/>
      <c r="J124" s="5"/>
      <c r="K124" s="5"/>
      <c r="L124" s="5"/>
      <c r="M124" s="5"/>
      <c r="N124" s="70" t="s">
        <v>390</v>
      </c>
    </row>
    <row r="125" spans="1:14" ht="21.6" customHeight="1" x14ac:dyDescent="0.25">
      <c r="A125" s="68" t="s">
        <v>391</v>
      </c>
      <c r="B125" s="5" t="s">
        <v>91</v>
      </c>
      <c r="C125" s="5" t="s">
        <v>332</v>
      </c>
      <c r="D125" s="5">
        <v>25.82</v>
      </c>
      <c r="E125" s="5">
        <v>41.82</v>
      </c>
      <c r="F125" s="1" t="s">
        <v>516</v>
      </c>
      <c r="G125" s="7">
        <v>16</v>
      </c>
      <c r="H125" s="7"/>
      <c r="I125" s="5">
        <v>3.5</v>
      </c>
      <c r="J125" s="5">
        <v>3.5</v>
      </c>
      <c r="K125" s="5"/>
      <c r="L125" s="5"/>
      <c r="M125" s="5"/>
      <c r="N125" s="70" t="s">
        <v>365</v>
      </c>
    </row>
    <row r="126" spans="1:14" ht="21.6" customHeight="1" x14ac:dyDescent="0.25">
      <c r="A126" s="68" t="s">
        <v>392</v>
      </c>
      <c r="B126" s="5" t="s">
        <v>91</v>
      </c>
      <c r="C126" s="5" t="s">
        <v>332</v>
      </c>
      <c r="D126" s="5">
        <v>41.82</v>
      </c>
      <c r="E126" s="5">
        <v>56.44</v>
      </c>
      <c r="F126" s="1" t="s">
        <v>514</v>
      </c>
      <c r="G126" s="7">
        <v>14.62</v>
      </c>
      <c r="H126" s="7"/>
      <c r="I126" s="5"/>
      <c r="J126" s="5"/>
      <c r="K126" s="5"/>
      <c r="L126" s="5"/>
      <c r="M126" s="5"/>
      <c r="N126" s="70" t="s">
        <v>390</v>
      </c>
    </row>
    <row r="127" spans="1:14" s="97" customFormat="1" ht="21.6" customHeight="1" x14ac:dyDescent="0.25">
      <c r="A127" s="93" t="s">
        <v>393</v>
      </c>
      <c r="B127" s="94" t="s">
        <v>94</v>
      </c>
      <c r="C127" s="94" t="s">
        <v>206</v>
      </c>
      <c r="D127" s="94">
        <v>0</v>
      </c>
      <c r="E127" s="94">
        <v>10.199999999999999</v>
      </c>
      <c r="F127" s="95" t="s">
        <v>514</v>
      </c>
      <c r="G127" s="108">
        <v>10.199999999999999</v>
      </c>
      <c r="H127" s="108"/>
      <c r="I127" s="94">
        <v>3.5</v>
      </c>
      <c r="J127" s="94">
        <v>3.5</v>
      </c>
      <c r="K127" s="94"/>
      <c r="L127" s="94"/>
      <c r="M127" s="94"/>
      <c r="N127" s="96" t="s">
        <v>337</v>
      </c>
    </row>
    <row r="128" spans="1:14" s="97" customFormat="1" ht="21.6" customHeight="1" x14ac:dyDescent="0.25">
      <c r="A128" s="93" t="s">
        <v>394</v>
      </c>
      <c r="B128" s="94" t="s">
        <v>94</v>
      </c>
      <c r="C128" s="94" t="s">
        <v>332</v>
      </c>
      <c r="D128" s="94">
        <v>10.199999999999999</v>
      </c>
      <c r="E128" s="94">
        <v>16</v>
      </c>
      <c r="F128" s="95" t="s">
        <v>516</v>
      </c>
      <c r="G128" s="108">
        <v>5.8</v>
      </c>
      <c r="H128" s="108"/>
      <c r="I128" s="94">
        <v>3</v>
      </c>
      <c r="J128" s="94">
        <v>3</v>
      </c>
      <c r="K128" s="94"/>
      <c r="L128" s="94"/>
      <c r="M128" s="94"/>
      <c r="N128" s="96" t="s">
        <v>395</v>
      </c>
    </row>
    <row r="129" spans="1:14" s="97" customFormat="1" ht="21.6" customHeight="1" x14ac:dyDescent="0.25">
      <c r="A129" s="93" t="s">
        <v>396</v>
      </c>
      <c r="B129" s="94" t="s">
        <v>94</v>
      </c>
      <c r="C129" s="94" t="s">
        <v>332</v>
      </c>
      <c r="D129" s="94">
        <v>16</v>
      </c>
      <c r="E129" s="94">
        <v>28</v>
      </c>
      <c r="F129" s="95" t="s">
        <v>515</v>
      </c>
      <c r="G129" s="108">
        <v>12</v>
      </c>
      <c r="H129" s="108"/>
      <c r="I129" s="94"/>
      <c r="J129" s="94"/>
      <c r="K129" s="94"/>
      <c r="L129" s="94"/>
      <c r="M129" s="94"/>
      <c r="N129" s="96" t="s">
        <v>333</v>
      </c>
    </row>
    <row r="130" spans="1:14" s="97" customFormat="1" ht="21.6" customHeight="1" x14ac:dyDescent="0.25">
      <c r="A130" s="93" t="s">
        <v>397</v>
      </c>
      <c r="B130" s="94" t="s">
        <v>94</v>
      </c>
      <c r="C130" s="94" t="s">
        <v>203</v>
      </c>
      <c r="D130" s="94">
        <v>28</v>
      </c>
      <c r="E130" s="94">
        <v>41.5</v>
      </c>
      <c r="F130" s="95" t="s">
        <v>514</v>
      </c>
      <c r="G130" s="108">
        <v>13.5</v>
      </c>
      <c r="H130" s="108"/>
      <c r="I130" s="94">
        <v>6.5</v>
      </c>
      <c r="J130" s="94">
        <v>6.5</v>
      </c>
      <c r="K130" s="94"/>
      <c r="L130" s="94"/>
      <c r="M130" s="94"/>
      <c r="N130" s="96" t="s">
        <v>398</v>
      </c>
    </row>
    <row r="131" spans="1:14" s="97" customFormat="1" ht="21.6" customHeight="1" x14ac:dyDescent="0.25">
      <c r="A131" s="93" t="s">
        <v>399</v>
      </c>
      <c r="B131" s="94" t="s">
        <v>94</v>
      </c>
      <c r="C131" s="94" t="s">
        <v>332</v>
      </c>
      <c r="D131" s="94">
        <v>41.5</v>
      </c>
      <c r="E131" s="94">
        <v>71.2</v>
      </c>
      <c r="F131" s="95" t="s">
        <v>515</v>
      </c>
      <c r="G131" s="108">
        <v>29.700000000000003</v>
      </c>
      <c r="H131" s="108"/>
      <c r="I131" s="94"/>
      <c r="J131" s="94"/>
      <c r="K131" s="94"/>
      <c r="L131" s="94"/>
      <c r="M131" s="94"/>
      <c r="N131" s="96" t="s">
        <v>333</v>
      </c>
    </row>
    <row r="132" spans="1:14" ht="21.6" customHeight="1" x14ac:dyDescent="0.25">
      <c r="A132" s="68" t="s">
        <v>400</v>
      </c>
      <c r="B132" s="5" t="s">
        <v>98</v>
      </c>
      <c r="C132" s="5" t="s">
        <v>332</v>
      </c>
      <c r="D132" s="5">
        <v>0</v>
      </c>
      <c r="E132" s="5">
        <v>12</v>
      </c>
      <c r="F132" s="1" t="s">
        <v>515</v>
      </c>
      <c r="G132" s="7">
        <v>12</v>
      </c>
      <c r="H132" s="7"/>
      <c r="I132" s="5"/>
      <c r="J132" s="5"/>
      <c r="K132" s="5"/>
      <c r="L132" s="5"/>
      <c r="M132" s="5"/>
      <c r="N132" s="70" t="s">
        <v>333</v>
      </c>
    </row>
    <row r="133" spans="1:14" ht="21.6" customHeight="1" x14ac:dyDescent="0.25">
      <c r="A133" s="68" t="s">
        <v>401</v>
      </c>
      <c r="B133" s="5" t="s">
        <v>98</v>
      </c>
      <c r="C133" s="5" t="s">
        <v>332</v>
      </c>
      <c r="D133" s="5">
        <v>13.42</v>
      </c>
      <c r="E133" s="5">
        <v>21.42</v>
      </c>
      <c r="F133" s="1" t="s">
        <v>515</v>
      </c>
      <c r="G133" s="7">
        <v>8</v>
      </c>
      <c r="H133" s="7"/>
      <c r="I133" s="5"/>
      <c r="J133" s="5"/>
      <c r="K133" s="5"/>
      <c r="L133" s="5"/>
      <c r="M133" s="5"/>
      <c r="N133" s="70" t="s">
        <v>333</v>
      </c>
    </row>
    <row r="134" spans="1:14" ht="21.6" customHeight="1" x14ac:dyDescent="0.25">
      <c r="A134" s="68" t="s">
        <v>402</v>
      </c>
      <c r="B134" s="5" t="s">
        <v>98</v>
      </c>
      <c r="C134" s="5" t="s">
        <v>332</v>
      </c>
      <c r="D134" s="5">
        <v>21.42</v>
      </c>
      <c r="E134" s="5">
        <v>28.42</v>
      </c>
      <c r="F134" s="1" t="s">
        <v>516</v>
      </c>
      <c r="G134" s="7">
        <v>7</v>
      </c>
      <c r="H134" s="7"/>
      <c r="I134" s="5">
        <v>3.5</v>
      </c>
      <c r="J134" s="5">
        <v>3.5</v>
      </c>
      <c r="K134" s="5"/>
      <c r="L134" s="5"/>
      <c r="M134" s="5"/>
      <c r="N134" s="70" t="s">
        <v>362</v>
      </c>
    </row>
    <row r="135" spans="1:14" ht="21.6" customHeight="1" x14ac:dyDescent="0.25">
      <c r="A135" s="68" t="s">
        <v>403</v>
      </c>
      <c r="B135" s="5" t="s">
        <v>98</v>
      </c>
      <c r="C135" s="5" t="s">
        <v>332</v>
      </c>
      <c r="D135" s="5">
        <v>28.42</v>
      </c>
      <c r="E135" s="5">
        <v>40.42</v>
      </c>
      <c r="F135" s="1" t="s">
        <v>515</v>
      </c>
      <c r="G135" s="7">
        <v>12</v>
      </c>
      <c r="H135" s="7"/>
      <c r="I135" s="5"/>
      <c r="J135" s="5"/>
      <c r="K135" s="5"/>
      <c r="L135" s="5"/>
      <c r="M135" s="5"/>
      <c r="N135" s="70" t="s">
        <v>333</v>
      </c>
    </row>
    <row r="136" spans="1:14" ht="21.6" customHeight="1" x14ac:dyDescent="0.25">
      <c r="A136" s="68" t="s">
        <v>404</v>
      </c>
      <c r="B136" s="5" t="s">
        <v>98</v>
      </c>
      <c r="C136" s="5" t="s">
        <v>332</v>
      </c>
      <c r="D136" s="5">
        <v>40.42</v>
      </c>
      <c r="E136" s="5">
        <v>45.42</v>
      </c>
      <c r="F136" s="1" t="s">
        <v>516</v>
      </c>
      <c r="G136" s="7">
        <v>5</v>
      </c>
      <c r="H136" s="7"/>
      <c r="I136" s="5">
        <v>3.5</v>
      </c>
      <c r="J136" s="5">
        <v>3.5</v>
      </c>
      <c r="K136" s="5"/>
      <c r="L136" s="5"/>
      <c r="M136" s="5"/>
      <c r="N136" s="70" t="s">
        <v>362</v>
      </c>
    </row>
    <row r="137" spans="1:14" ht="21.6" customHeight="1" x14ac:dyDescent="0.25">
      <c r="A137" s="68" t="s">
        <v>405</v>
      </c>
      <c r="B137" s="5" t="s">
        <v>98</v>
      </c>
      <c r="C137" s="5" t="s">
        <v>332</v>
      </c>
      <c r="D137" s="5">
        <v>45.42</v>
      </c>
      <c r="E137" s="5">
        <v>49.42</v>
      </c>
      <c r="F137" s="1" t="s">
        <v>514</v>
      </c>
      <c r="G137" s="7">
        <v>4</v>
      </c>
      <c r="H137" s="7"/>
      <c r="I137" s="5">
        <v>4.5</v>
      </c>
      <c r="J137" s="5">
        <v>8</v>
      </c>
      <c r="K137" s="5"/>
      <c r="L137" s="5"/>
      <c r="M137" s="5"/>
      <c r="N137" s="70" t="s">
        <v>406</v>
      </c>
    </row>
    <row r="138" spans="1:14" ht="21.6" customHeight="1" x14ac:dyDescent="0.25">
      <c r="A138" s="68" t="s">
        <v>407</v>
      </c>
      <c r="B138" s="5" t="s">
        <v>98</v>
      </c>
      <c r="C138" s="5" t="s">
        <v>332</v>
      </c>
      <c r="D138" s="5">
        <v>67.75</v>
      </c>
      <c r="E138" s="5">
        <v>97.25</v>
      </c>
      <c r="F138" s="1" t="s">
        <v>516</v>
      </c>
      <c r="G138" s="7">
        <v>29.5</v>
      </c>
      <c r="H138" s="7"/>
      <c r="I138" s="5">
        <v>3.5</v>
      </c>
      <c r="J138" s="5">
        <v>3.5</v>
      </c>
      <c r="K138" s="5"/>
      <c r="L138" s="5"/>
      <c r="M138" s="5"/>
      <c r="N138" s="70" t="s">
        <v>362</v>
      </c>
    </row>
    <row r="139" spans="1:14" ht="21.6" customHeight="1" x14ac:dyDescent="0.25">
      <c r="A139" s="68" t="s">
        <v>408</v>
      </c>
      <c r="B139" s="5" t="s">
        <v>98</v>
      </c>
      <c r="C139" s="5" t="s">
        <v>332</v>
      </c>
      <c r="D139" s="5">
        <v>97.25</v>
      </c>
      <c r="E139" s="5">
        <v>97.85</v>
      </c>
      <c r="F139" s="1" t="s">
        <v>514</v>
      </c>
      <c r="G139" s="7">
        <v>0.6</v>
      </c>
      <c r="H139" s="7"/>
      <c r="I139" s="5">
        <v>8</v>
      </c>
      <c r="J139" s="5">
        <v>8</v>
      </c>
      <c r="K139" s="5"/>
      <c r="L139" s="5"/>
      <c r="M139" s="5"/>
      <c r="N139" s="70" t="s">
        <v>409</v>
      </c>
    </row>
    <row r="140" spans="1:14" ht="21.6" customHeight="1" x14ac:dyDescent="0.25">
      <c r="A140" s="68" t="s">
        <v>410</v>
      </c>
      <c r="B140" s="5" t="s">
        <v>102</v>
      </c>
      <c r="C140" s="5" t="s">
        <v>332</v>
      </c>
      <c r="D140" s="5">
        <v>0</v>
      </c>
      <c r="E140" s="5">
        <v>47</v>
      </c>
      <c r="F140" s="1" t="s">
        <v>515</v>
      </c>
      <c r="G140" s="7">
        <v>31.43</v>
      </c>
      <c r="H140" s="7"/>
      <c r="I140" s="5"/>
      <c r="J140" s="5"/>
      <c r="K140" s="5"/>
      <c r="L140" s="5"/>
      <c r="M140" s="5"/>
      <c r="N140" s="70" t="s">
        <v>333</v>
      </c>
    </row>
    <row r="141" spans="1:14" ht="21.6" customHeight="1" x14ac:dyDescent="0.25">
      <c r="A141" s="68" t="s">
        <v>411</v>
      </c>
      <c r="B141" s="5" t="s">
        <v>102</v>
      </c>
      <c r="C141" s="5" t="s">
        <v>203</v>
      </c>
      <c r="D141" s="5">
        <v>47</v>
      </c>
      <c r="E141" s="5">
        <v>58.2</v>
      </c>
      <c r="F141" s="1" t="s">
        <v>514</v>
      </c>
      <c r="G141" s="7">
        <v>11.2</v>
      </c>
      <c r="H141" s="7"/>
      <c r="I141" s="5">
        <v>6.5</v>
      </c>
      <c r="J141" s="5">
        <v>6.5</v>
      </c>
      <c r="K141" s="5"/>
      <c r="L141" s="5"/>
      <c r="M141" s="5"/>
      <c r="N141" s="70" t="s">
        <v>412</v>
      </c>
    </row>
    <row r="142" spans="1:14" ht="21.6" customHeight="1" x14ac:dyDescent="0.25">
      <c r="A142" s="68" t="s">
        <v>413</v>
      </c>
      <c r="B142" s="5" t="s">
        <v>102</v>
      </c>
      <c r="C142" s="5" t="s">
        <v>332</v>
      </c>
      <c r="D142" s="5">
        <v>58.2</v>
      </c>
      <c r="E142" s="5">
        <v>70</v>
      </c>
      <c r="F142" s="1" t="s">
        <v>516</v>
      </c>
      <c r="G142" s="7">
        <v>11.8</v>
      </c>
      <c r="H142" s="7"/>
      <c r="I142" s="5">
        <v>3.5</v>
      </c>
      <c r="J142" s="5">
        <v>3.5</v>
      </c>
      <c r="K142" s="5"/>
      <c r="L142" s="5"/>
      <c r="M142" s="5"/>
      <c r="N142" s="70" t="s">
        <v>362</v>
      </c>
    </row>
    <row r="143" spans="1:14" ht="21.6" customHeight="1" x14ac:dyDescent="0.25">
      <c r="A143" s="68" t="s">
        <v>414</v>
      </c>
      <c r="B143" s="5" t="s">
        <v>102</v>
      </c>
      <c r="C143" s="5" t="s">
        <v>206</v>
      </c>
      <c r="D143" s="5">
        <v>70</v>
      </c>
      <c r="E143" s="5">
        <v>76</v>
      </c>
      <c r="F143" s="1" t="s">
        <v>514</v>
      </c>
      <c r="G143" s="7">
        <v>6</v>
      </c>
      <c r="H143" s="7"/>
      <c r="I143" s="5">
        <v>5.5</v>
      </c>
      <c r="J143" s="5">
        <v>5.5</v>
      </c>
      <c r="K143" s="5"/>
      <c r="L143" s="5"/>
      <c r="M143" s="5"/>
      <c r="N143" s="70" t="s">
        <v>415</v>
      </c>
    </row>
    <row r="144" spans="1:14" ht="21.6" customHeight="1" x14ac:dyDescent="0.25">
      <c r="A144" s="68" t="s">
        <v>416</v>
      </c>
      <c r="B144" s="5" t="s">
        <v>102</v>
      </c>
      <c r="C144" s="5" t="s">
        <v>332</v>
      </c>
      <c r="D144" s="5">
        <v>76</v>
      </c>
      <c r="E144" s="5">
        <v>81</v>
      </c>
      <c r="F144" s="1" t="s">
        <v>515</v>
      </c>
      <c r="G144" s="7">
        <v>5</v>
      </c>
      <c r="H144" s="7"/>
      <c r="I144" s="5"/>
      <c r="J144" s="5"/>
      <c r="K144" s="5"/>
      <c r="L144" s="5"/>
      <c r="M144" s="5"/>
      <c r="N144" s="70" t="s">
        <v>333</v>
      </c>
    </row>
    <row r="145" spans="1:14" ht="21.6" customHeight="1" x14ac:dyDescent="0.25">
      <c r="A145" s="68" t="s">
        <v>417</v>
      </c>
      <c r="B145" s="5" t="s">
        <v>102</v>
      </c>
      <c r="C145" s="5" t="s">
        <v>332</v>
      </c>
      <c r="D145" s="5">
        <v>88</v>
      </c>
      <c r="E145" s="5">
        <v>99</v>
      </c>
      <c r="F145" s="1" t="s">
        <v>515</v>
      </c>
      <c r="G145" s="7">
        <v>11</v>
      </c>
      <c r="H145" s="7"/>
      <c r="I145" s="5"/>
      <c r="J145" s="5"/>
      <c r="K145" s="5"/>
      <c r="L145" s="5"/>
      <c r="M145" s="5"/>
      <c r="N145" s="70" t="s">
        <v>333</v>
      </c>
    </row>
    <row r="146" spans="1:14" ht="21.6" customHeight="1" x14ac:dyDescent="0.25">
      <c r="A146" s="68" t="s">
        <v>418</v>
      </c>
      <c r="B146" s="5" t="s">
        <v>102</v>
      </c>
      <c r="C146" s="5" t="s">
        <v>206</v>
      </c>
      <c r="D146" s="5">
        <v>99</v>
      </c>
      <c r="E146" s="5">
        <v>106</v>
      </c>
      <c r="F146" s="1" t="s">
        <v>514</v>
      </c>
      <c r="G146" s="7">
        <v>7</v>
      </c>
      <c r="H146" s="7"/>
      <c r="I146" s="5">
        <v>3.5</v>
      </c>
      <c r="J146" s="5">
        <v>3.5</v>
      </c>
      <c r="K146" s="5"/>
      <c r="L146" s="5"/>
      <c r="M146" s="5"/>
      <c r="N146" s="70" t="s">
        <v>419</v>
      </c>
    </row>
    <row r="147" spans="1:14" ht="21.6" customHeight="1" x14ac:dyDescent="0.25">
      <c r="A147" s="68" t="s">
        <v>420</v>
      </c>
      <c r="B147" s="5" t="s">
        <v>102</v>
      </c>
      <c r="C147" s="5" t="s">
        <v>332</v>
      </c>
      <c r="D147" s="5">
        <v>106</v>
      </c>
      <c r="E147" s="5">
        <v>110</v>
      </c>
      <c r="F147" s="1" t="s">
        <v>515</v>
      </c>
      <c r="G147" s="7">
        <v>4</v>
      </c>
      <c r="H147" s="7"/>
      <c r="I147" s="5"/>
      <c r="J147" s="5"/>
      <c r="K147" s="5"/>
      <c r="L147" s="5"/>
      <c r="M147" s="5"/>
      <c r="N147" s="70" t="s">
        <v>333</v>
      </c>
    </row>
    <row r="148" spans="1:14" ht="21.6" customHeight="1" x14ac:dyDescent="0.25">
      <c r="A148" s="68" t="s">
        <v>421</v>
      </c>
      <c r="B148" s="5" t="s">
        <v>102</v>
      </c>
      <c r="C148" s="5" t="s">
        <v>332</v>
      </c>
      <c r="D148" s="5">
        <v>110</v>
      </c>
      <c r="E148" s="5">
        <v>129</v>
      </c>
      <c r="F148" s="1" t="s">
        <v>516</v>
      </c>
      <c r="G148" s="7">
        <v>19</v>
      </c>
      <c r="H148" s="7"/>
      <c r="I148" s="5">
        <v>3.5</v>
      </c>
      <c r="J148" s="5">
        <v>3.5</v>
      </c>
      <c r="K148" s="5"/>
      <c r="L148" s="5"/>
      <c r="M148" s="5"/>
      <c r="N148" s="70" t="s">
        <v>362</v>
      </c>
    </row>
    <row r="149" spans="1:14" ht="21.6" customHeight="1" x14ac:dyDescent="0.25">
      <c r="A149" s="68" t="s">
        <v>422</v>
      </c>
      <c r="B149" s="5" t="s">
        <v>106</v>
      </c>
      <c r="C149" s="5" t="s">
        <v>206</v>
      </c>
      <c r="D149" s="5">
        <v>0</v>
      </c>
      <c r="E149" s="5">
        <v>4</v>
      </c>
      <c r="F149" s="1" t="s">
        <v>515</v>
      </c>
      <c r="G149" s="7">
        <v>3.4623699999999999</v>
      </c>
      <c r="H149" s="7"/>
      <c r="I149" s="5"/>
      <c r="J149" s="5"/>
      <c r="K149" s="5"/>
      <c r="L149" s="5"/>
      <c r="M149" s="5"/>
      <c r="N149" s="70" t="s">
        <v>333</v>
      </c>
    </row>
    <row r="150" spans="1:14" ht="21.6" customHeight="1" x14ac:dyDescent="0.25">
      <c r="A150" s="68" t="s">
        <v>423</v>
      </c>
      <c r="B150" s="5" t="s">
        <v>106</v>
      </c>
      <c r="C150" s="5" t="s">
        <v>206</v>
      </c>
      <c r="D150" s="5">
        <v>4</v>
      </c>
      <c r="E150" s="5">
        <v>28</v>
      </c>
      <c r="F150" s="1" t="s">
        <v>514</v>
      </c>
      <c r="G150" s="7">
        <v>24</v>
      </c>
      <c r="H150" s="7"/>
      <c r="I150" s="5">
        <v>5.5</v>
      </c>
      <c r="J150" s="5">
        <v>5.5</v>
      </c>
      <c r="K150" s="5"/>
      <c r="L150" s="5"/>
      <c r="M150" s="5"/>
      <c r="N150" s="70" t="s">
        <v>283</v>
      </c>
    </row>
    <row r="151" spans="1:14" ht="21.6" customHeight="1" x14ac:dyDescent="0.25">
      <c r="A151" s="68" t="s">
        <v>424</v>
      </c>
      <c r="B151" s="5" t="s">
        <v>106</v>
      </c>
      <c r="C151" s="5" t="s">
        <v>332</v>
      </c>
      <c r="D151" s="5">
        <v>28</v>
      </c>
      <c r="E151" s="5">
        <v>30.189</v>
      </c>
      <c r="F151" s="1" t="s">
        <v>514</v>
      </c>
      <c r="G151" s="7">
        <v>2.1890000000000001</v>
      </c>
      <c r="H151" s="7"/>
      <c r="I151" s="5">
        <v>9</v>
      </c>
      <c r="J151" s="5">
        <v>9</v>
      </c>
      <c r="K151" s="5"/>
      <c r="L151" s="5"/>
      <c r="M151" s="5"/>
      <c r="N151" s="70" t="s">
        <v>425</v>
      </c>
    </row>
    <row r="152" spans="1:14" ht="21.6" customHeight="1" x14ac:dyDescent="0.25">
      <c r="A152" s="68" t="s">
        <v>426</v>
      </c>
      <c r="B152" s="5" t="s">
        <v>106</v>
      </c>
      <c r="C152" s="5" t="s">
        <v>206</v>
      </c>
      <c r="D152" s="5">
        <v>30.189</v>
      </c>
      <c r="E152" s="5">
        <v>54</v>
      </c>
      <c r="F152" s="1" t="s">
        <v>514</v>
      </c>
      <c r="G152" s="7">
        <v>23.811</v>
      </c>
      <c r="H152" s="7"/>
      <c r="I152" s="5">
        <v>5.5</v>
      </c>
      <c r="J152" s="5">
        <v>5.5</v>
      </c>
      <c r="K152" s="5"/>
      <c r="L152" s="5"/>
      <c r="M152" s="5"/>
      <c r="N152" s="70" t="s">
        <v>283</v>
      </c>
    </row>
    <row r="153" spans="1:14" ht="21.6" customHeight="1" x14ac:dyDescent="0.25">
      <c r="A153" s="68" t="s">
        <v>427</v>
      </c>
      <c r="B153" s="5" t="s">
        <v>106</v>
      </c>
      <c r="C153" s="5" t="s">
        <v>206</v>
      </c>
      <c r="D153" s="5">
        <v>54</v>
      </c>
      <c r="E153" s="5">
        <v>63.957000000000001</v>
      </c>
      <c r="F153" s="1" t="s">
        <v>514</v>
      </c>
      <c r="G153" s="7">
        <v>9.9576300000000018</v>
      </c>
      <c r="H153" s="7"/>
      <c r="I153" s="5">
        <v>5.5</v>
      </c>
      <c r="J153" s="5">
        <v>5.5</v>
      </c>
      <c r="K153" s="5"/>
      <c r="L153" s="5"/>
      <c r="M153" s="5"/>
      <c r="N153" s="70" t="s">
        <v>283</v>
      </c>
    </row>
    <row r="154" spans="1:14" ht="21.6" customHeight="1" x14ac:dyDescent="0.25">
      <c r="A154" s="68" t="s">
        <v>428</v>
      </c>
      <c r="B154" s="5" t="s">
        <v>109</v>
      </c>
      <c r="C154" s="5" t="s">
        <v>216</v>
      </c>
      <c r="D154" s="5">
        <v>0</v>
      </c>
      <c r="E154" s="5">
        <v>32.6</v>
      </c>
      <c r="F154" s="1" t="s">
        <v>514</v>
      </c>
      <c r="G154" s="6">
        <v>31.081</v>
      </c>
      <c r="H154" s="6"/>
      <c r="I154" s="5">
        <v>8</v>
      </c>
      <c r="J154" s="5">
        <v>8</v>
      </c>
      <c r="K154" s="5"/>
      <c r="L154" s="5"/>
      <c r="M154" s="5"/>
      <c r="N154" s="70" t="s">
        <v>429</v>
      </c>
    </row>
    <row r="155" spans="1:14" ht="21.6" customHeight="1" x14ac:dyDescent="0.25">
      <c r="A155" s="68" t="s">
        <v>430</v>
      </c>
      <c r="B155" s="5" t="s">
        <v>109</v>
      </c>
      <c r="C155" s="5" t="s">
        <v>203</v>
      </c>
      <c r="D155" s="5">
        <v>33</v>
      </c>
      <c r="E155" s="5">
        <v>39.744999999999997</v>
      </c>
      <c r="F155" s="1" t="s">
        <v>514</v>
      </c>
      <c r="G155" s="6">
        <v>6.7949999999999999</v>
      </c>
      <c r="H155" s="6"/>
      <c r="I155" s="5">
        <v>5.5</v>
      </c>
      <c r="J155" s="5">
        <v>5.5</v>
      </c>
      <c r="K155" s="5"/>
      <c r="L155" s="5"/>
      <c r="M155" s="5"/>
      <c r="N155" s="70" t="s">
        <v>283</v>
      </c>
    </row>
    <row r="156" spans="1:14" ht="21.6" customHeight="1" x14ac:dyDescent="0.25">
      <c r="A156" s="68" t="s">
        <v>431</v>
      </c>
      <c r="B156" s="5" t="s">
        <v>113</v>
      </c>
      <c r="C156" s="5" t="s">
        <v>216</v>
      </c>
      <c r="D156" s="5">
        <v>0</v>
      </c>
      <c r="E156" s="5">
        <v>5.9</v>
      </c>
      <c r="F156" s="1" t="s">
        <v>514</v>
      </c>
      <c r="G156" s="7">
        <v>5.9</v>
      </c>
      <c r="H156" s="7"/>
      <c r="I156" s="5">
        <v>8</v>
      </c>
      <c r="J156" s="5">
        <v>8</v>
      </c>
      <c r="K156" s="5"/>
      <c r="L156" s="5"/>
      <c r="M156" s="5"/>
      <c r="N156" s="70" t="s">
        <v>429</v>
      </c>
    </row>
    <row r="157" spans="1:14" ht="21.6" customHeight="1" x14ac:dyDescent="0.25">
      <c r="A157" s="68" t="s">
        <v>432</v>
      </c>
      <c r="B157" s="5" t="s">
        <v>113</v>
      </c>
      <c r="C157" s="5" t="s">
        <v>203</v>
      </c>
      <c r="D157" s="5">
        <v>5.9</v>
      </c>
      <c r="E157" s="5">
        <v>56.8</v>
      </c>
      <c r="F157" s="1" t="s">
        <v>514</v>
      </c>
      <c r="G157" s="7">
        <v>50.9</v>
      </c>
      <c r="H157" s="7"/>
      <c r="I157" s="5">
        <v>5.5</v>
      </c>
      <c r="J157" s="5">
        <v>5.5</v>
      </c>
      <c r="K157" s="5"/>
      <c r="L157" s="5"/>
      <c r="M157" s="5"/>
      <c r="N157" s="70" t="s">
        <v>433</v>
      </c>
    </row>
    <row r="158" spans="1:14" ht="21.6" customHeight="1" x14ac:dyDescent="0.25">
      <c r="A158" s="68" t="s">
        <v>434</v>
      </c>
      <c r="B158" s="5" t="s">
        <v>113</v>
      </c>
      <c r="C158" s="5" t="s">
        <v>206</v>
      </c>
      <c r="D158" s="5">
        <v>56.8</v>
      </c>
      <c r="E158" s="5">
        <v>85</v>
      </c>
      <c r="F158" s="1" t="s">
        <v>514</v>
      </c>
      <c r="G158" s="7">
        <v>28.200000000000003</v>
      </c>
      <c r="H158" s="7"/>
      <c r="I158" s="5">
        <v>3.5</v>
      </c>
      <c r="J158" s="5">
        <v>3.5</v>
      </c>
      <c r="K158" s="5"/>
      <c r="L158" s="5"/>
      <c r="M158" s="5"/>
      <c r="N158" s="70" t="s">
        <v>435</v>
      </c>
    </row>
    <row r="159" spans="1:14" ht="21.6" customHeight="1" x14ac:dyDescent="0.25">
      <c r="A159" s="68" t="s">
        <v>436</v>
      </c>
      <c r="B159" s="5" t="s">
        <v>117</v>
      </c>
      <c r="C159" s="5" t="s">
        <v>206</v>
      </c>
      <c r="D159" s="5">
        <v>0</v>
      </c>
      <c r="E159" s="5">
        <v>20.5</v>
      </c>
      <c r="F159" s="1" t="s">
        <v>514</v>
      </c>
      <c r="G159" s="6">
        <v>20.5</v>
      </c>
      <c r="H159" s="6"/>
      <c r="I159" s="5">
        <v>5.5</v>
      </c>
      <c r="J159" s="5">
        <v>5.5</v>
      </c>
      <c r="K159" s="5"/>
      <c r="L159" s="5"/>
      <c r="M159" s="5"/>
      <c r="N159" s="70" t="s">
        <v>437</v>
      </c>
    </row>
    <row r="160" spans="1:14" ht="21.6" customHeight="1" x14ac:dyDescent="0.25">
      <c r="A160" s="68" t="s">
        <v>438</v>
      </c>
      <c r="B160" s="5" t="s">
        <v>121</v>
      </c>
      <c r="C160" s="5" t="s">
        <v>203</v>
      </c>
      <c r="D160" s="5">
        <v>0</v>
      </c>
      <c r="E160" s="5">
        <v>2.2000000000000002</v>
      </c>
      <c r="F160" s="1" t="s">
        <v>514</v>
      </c>
      <c r="G160" s="6">
        <v>2.2000000000000002</v>
      </c>
      <c r="H160" s="6"/>
      <c r="I160" s="5">
        <v>7.5</v>
      </c>
      <c r="J160" s="5">
        <v>7.5</v>
      </c>
      <c r="K160" s="5"/>
      <c r="L160" s="5"/>
      <c r="M160" s="5"/>
      <c r="N160" s="70" t="s">
        <v>439</v>
      </c>
    </row>
    <row r="161" spans="1:14" ht="21.6" customHeight="1" x14ac:dyDescent="0.25">
      <c r="A161" s="68" t="s">
        <v>440</v>
      </c>
      <c r="B161" s="5" t="s">
        <v>121</v>
      </c>
      <c r="C161" s="5" t="s">
        <v>206</v>
      </c>
      <c r="D161" s="5">
        <v>2.2000000000000002</v>
      </c>
      <c r="E161" s="5">
        <v>18</v>
      </c>
      <c r="F161" s="1" t="s">
        <v>514</v>
      </c>
      <c r="G161" s="6">
        <v>15.8</v>
      </c>
      <c r="H161" s="6"/>
      <c r="I161" s="5">
        <v>5.5</v>
      </c>
      <c r="J161" s="5">
        <v>5.5</v>
      </c>
      <c r="K161" s="5"/>
      <c r="L161" s="5"/>
      <c r="M161" s="5"/>
      <c r="N161" s="70" t="s">
        <v>441</v>
      </c>
    </row>
    <row r="162" spans="1:14" ht="21.6" customHeight="1" x14ac:dyDescent="0.25">
      <c r="A162" s="68" t="s">
        <v>442</v>
      </c>
      <c r="B162" s="5" t="s">
        <v>125</v>
      </c>
      <c r="C162" s="5" t="s">
        <v>206</v>
      </c>
      <c r="D162" s="5">
        <v>0</v>
      </c>
      <c r="E162" s="5">
        <v>5</v>
      </c>
      <c r="F162" s="1" t="s">
        <v>514</v>
      </c>
      <c r="G162" s="6">
        <v>5</v>
      </c>
      <c r="H162" s="6"/>
      <c r="I162" s="5">
        <v>3.5</v>
      </c>
      <c r="J162" s="5">
        <v>5</v>
      </c>
      <c r="K162" s="5"/>
      <c r="L162" s="5"/>
      <c r="M162" s="5"/>
      <c r="N162" s="70" t="s">
        <v>342</v>
      </c>
    </row>
    <row r="163" spans="1:14" ht="21.6" customHeight="1" x14ac:dyDescent="0.25">
      <c r="A163" s="68" t="s">
        <v>443</v>
      </c>
      <c r="B163" s="5" t="s">
        <v>125</v>
      </c>
      <c r="C163" s="5" t="s">
        <v>206</v>
      </c>
      <c r="D163" s="5">
        <v>5</v>
      </c>
      <c r="E163" s="5">
        <v>9.1999999999999993</v>
      </c>
      <c r="F163" s="1" t="s">
        <v>515</v>
      </c>
      <c r="G163" s="6">
        <v>4.1999999999999993</v>
      </c>
      <c r="H163" s="6"/>
      <c r="I163" s="5"/>
      <c r="J163" s="5"/>
      <c r="K163" s="5"/>
      <c r="L163" s="5"/>
      <c r="M163" s="5"/>
      <c r="N163" s="70" t="s">
        <v>333</v>
      </c>
    </row>
    <row r="164" spans="1:14" ht="21.6" customHeight="1" x14ac:dyDescent="0.25">
      <c r="A164" s="68" t="s">
        <v>444</v>
      </c>
      <c r="B164" s="5" t="s">
        <v>125</v>
      </c>
      <c r="C164" s="5" t="s">
        <v>203</v>
      </c>
      <c r="D164" s="5">
        <v>9.1999999999999993</v>
      </c>
      <c r="E164" s="5">
        <v>42.518000000000001</v>
      </c>
      <c r="F164" s="1" t="s">
        <v>514</v>
      </c>
      <c r="G164" s="6">
        <v>33.317999999999998</v>
      </c>
      <c r="H164" s="6"/>
      <c r="I164" s="5">
        <v>7.5</v>
      </c>
      <c r="J164" s="5">
        <v>7.5</v>
      </c>
      <c r="K164" s="5"/>
      <c r="L164" s="5"/>
      <c r="M164" s="5"/>
      <c r="N164" s="70" t="s">
        <v>445</v>
      </c>
    </row>
    <row r="165" spans="1:14" ht="21.6" customHeight="1" x14ac:dyDescent="0.25">
      <c r="A165" s="68" t="s">
        <v>519</v>
      </c>
      <c r="B165" s="5" t="s">
        <v>125</v>
      </c>
      <c r="C165" s="5" t="s">
        <v>206</v>
      </c>
      <c r="D165" s="5">
        <v>42.518000000000001</v>
      </c>
      <c r="E165" s="5">
        <v>52</v>
      </c>
      <c r="F165" s="1" t="s">
        <v>515</v>
      </c>
      <c r="G165" s="6">
        <v>9.4819999999999993</v>
      </c>
      <c r="H165" s="6"/>
      <c r="I165" s="5"/>
      <c r="J165" s="5"/>
      <c r="K165" s="5"/>
      <c r="L165" s="5"/>
      <c r="M165" s="5"/>
      <c r="N165" s="70" t="s">
        <v>333</v>
      </c>
    </row>
    <row r="166" spans="1:14" ht="21.6" customHeight="1" x14ac:dyDescent="0.25">
      <c r="A166" s="68" t="s">
        <v>446</v>
      </c>
      <c r="B166" s="5" t="s">
        <v>127</v>
      </c>
      <c r="C166" s="5" t="s">
        <v>216</v>
      </c>
      <c r="D166" s="5">
        <v>0</v>
      </c>
      <c r="E166" s="5">
        <v>1.3</v>
      </c>
      <c r="F166" s="1" t="s">
        <v>514</v>
      </c>
      <c r="G166" s="7">
        <v>1.3</v>
      </c>
      <c r="H166" s="7"/>
      <c r="I166" s="5">
        <v>7.5</v>
      </c>
      <c r="J166" s="5">
        <v>7.5</v>
      </c>
      <c r="K166" s="5"/>
      <c r="L166" s="5"/>
      <c r="M166" s="5"/>
      <c r="N166" s="70" t="s">
        <v>447</v>
      </c>
    </row>
    <row r="167" spans="1:14" ht="21.6" customHeight="1" x14ac:dyDescent="0.25">
      <c r="A167" s="68" t="s">
        <v>448</v>
      </c>
      <c r="B167" s="5" t="s">
        <v>127</v>
      </c>
      <c r="C167" s="5" t="s">
        <v>206</v>
      </c>
      <c r="D167" s="5">
        <v>1.3</v>
      </c>
      <c r="E167" s="5">
        <v>5</v>
      </c>
      <c r="F167" s="1" t="s">
        <v>514</v>
      </c>
      <c r="G167" s="7">
        <v>3.7</v>
      </c>
      <c r="H167" s="7"/>
      <c r="I167" s="5">
        <v>5.5</v>
      </c>
      <c r="J167" s="5">
        <v>5.5</v>
      </c>
      <c r="K167" s="5"/>
      <c r="L167" s="5"/>
      <c r="M167" s="5"/>
      <c r="N167" s="70" t="s">
        <v>449</v>
      </c>
    </row>
    <row r="168" spans="1:14" ht="21.6" customHeight="1" x14ac:dyDescent="0.25">
      <c r="A168" s="68" t="s">
        <v>450</v>
      </c>
      <c r="B168" s="5" t="s">
        <v>127</v>
      </c>
      <c r="C168" s="5" t="s">
        <v>206</v>
      </c>
      <c r="D168" s="5">
        <v>5</v>
      </c>
      <c r="E168" s="5">
        <v>36</v>
      </c>
      <c r="F168" s="1" t="s">
        <v>514</v>
      </c>
      <c r="G168" s="7">
        <v>31</v>
      </c>
      <c r="H168" s="7"/>
      <c r="I168" s="5">
        <v>3.5</v>
      </c>
      <c r="J168" s="5">
        <v>3.5</v>
      </c>
      <c r="K168" s="5"/>
      <c r="L168" s="5"/>
      <c r="M168" s="5"/>
      <c r="N168" s="70" t="s">
        <v>451</v>
      </c>
    </row>
    <row r="169" spans="1:14" ht="21.6" customHeight="1" x14ac:dyDescent="0.25">
      <c r="A169" s="68" t="s">
        <v>452</v>
      </c>
      <c r="B169" s="5" t="s">
        <v>127</v>
      </c>
      <c r="C169" s="5" t="s">
        <v>203</v>
      </c>
      <c r="D169" s="5">
        <v>36</v>
      </c>
      <c r="E169" s="5">
        <v>76</v>
      </c>
      <c r="F169" s="1" t="s">
        <v>514</v>
      </c>
      <c r="G169" s="7">
        <v>40</v>
      </c>
      <c r="H169" s="7"/>
      <c r="I169" s="5">
        <v>5.5</v>
      </c>
      <c r="J169" s="5">
        <v>5.5</v>
      </c>
      <c r="K169" s="5"/>
      <c r="L169" s="5"/>
      <c r="M169" s="5"/>
      <c r="N169" s="70" t="s">
        <v>433</v>
      </c>
    </row>
    <row r="170" spans="1:14" ht="21.6" customHeight="1" x14ac:dyDescent="0.25">
      <c r="A170" s="68" t="s">
        <v>453</v>
      </c>
      <c r="B170" s="5" t="s">
        <v>127</v>
      </c>
      <c r="C170" s="5" t="s">
        <v>203</v>
      </c>
      <c r="D170" s="5">
        <v>76</v>
      </c>
      <c r="E170" s="5">
        <v>77.400000000000006</v>
      </c>
      <c r="F170" s="1" t="s">
        <v>514</v>
      </c>
      <c r="G170" s="7">
        <v>1.4000000000000057</v>
      </c>
      <c r="H170" s="7"/>
      <c r="I170" s="5">
        <v>5.5</v>
      </c>
      <c r="J170" s="5">
        <v>5.5</v>
      </c>
      <c r="K170" s="5"/>
      <c r="L170" s="5"/>
      <c r="M170" s="5"/>
      <c r="N170" s="70" t="s">
        <v>454</v>
      </c>
    </row>
    <row r="171" spans="1:14" ht="21.6" customHeight="1" x14ac:dyDescent="0.25">
      <c r="A171" s="68" t="s">
        <v>455</v>
      </c>
      <c r="B171" s="5" t="s">
        <v>127</v>
      </c>
      <c r="C171" s="5" t="s">
        <v>206</v>
      </c>
      <c r="D171" s="5">
        <v>0</v>
      </c>
      <c r="E171" s="5">
        <v>2</v>
      </c>
      <c r="F171" s="1" t="s">
        <v>514</v>
      </c>
      <c r="G171" s="7">
        <v>2</v>
      </c>
      <c r="H171" s="7"/>
      <c r="I171" s="5">
        <v>3.5</v>
      </c>
      <c r="J171" s="5">
        <v>3.5</v>
      </c>
      <c r="K171" s="5"/>
      <c r="L171" s="5"/>
      <c r="M171" s="5"/>
      <c r="N171" s="70" t="s">
        <v>456</v>
      </c>
    </row>
    <row r="172" spans="1:14" ht="21.6" customHeight="1" x14ac:dyDescent="0.25">
      <c r="A172" s="68" t="s">
        <v>457</v>
      </c>
      <c r="B172" s="5" t="s">
        <v>130</v>
      </c>
      <c r="C172" s="5" t="s">
        <v>216</v>
      </c>
      <c r="D172" s="5">
        <v>0</v>
      </c>
      <c r="E172" s="5">
        <v>1</v>
      </c>
      <c r="F172" s="1" t="s">
        <v>514</v>
      </c>
      <c r="G172" s="7">
        <v>1</v>
      </c>
      <c r="H172" s="7"/>
      <c r="I172" s="5">
        <v>8.5</v>
      </c>
      <c r="J172" s="5">
        <v>8.5</v>
      </c>
      <c r="K172" s="5"/>
      <c r="L172" s="5"/>
      <c r="M172" s="5"/>
      <c r="N172" s="70" t="s">
        <v>458</v>
      </c>
    </row>
    <row r="173" spans="1:14" ht="21.6" customHeight="1" x14ac:dyDescent="0.25">
      <c r="A173" s="68" t="s">
        <v>459</v>
      </c>
      <c r="B173" s="5" t="s">
        <v>130</v>
      </c>
      <c r="C173" s="5" t="s">
        <v>203</v>
      </c>
      <c r="D173" s="5">
        <v>1</v>
      </c>
      <c r="E173" s="5">
        <v>10</v>
      </c>
      <c r="F173" s="1" t="s">
        <v>514</v>
      </c>
      <c r="G173" s="7">
        <v>9</v>
      </c>
      <c r="H173" s="7"/>
      <c r="I173" s="5">
        <v>5.5</v>
      </c>
      <c r="J173" s="5">
        <v>5.5</v>
      </c>
      <c r="K173" s="5"/>
      <c r="L173" s="5"/>
      <c r="M173" s="5"/>
      <c r="N173" s="70" t="s">
        <v>433</v>
      </c>
    </row>
    <row r="174" spans="1:14" ht="21.6" customHeight="1" x14ac:dyDescent="0.25">
      <c r="A174" s="68" t="s">
        <v>460</v>
      </c>
      <c r="B174" s="5" t="s">
        <v>130</v>
      </c>
      <c r="C174" s="5" t="s">
        <v>203</v>
      </c>
      <c r="D174" s="5">
        <v>1</v>
      </c>
      <c r="E174" s="5">
        <v>12</v>
      </c>
      <c r="F174" s="1" t="s">
        <v>514</v>
      </c>
      <c r="G174" s="7">
        <v>2</v>
      </c>
      <c r="H174" s="7"/>
      <c r="I174" s="5">
        <v>5.5</v>
      </c>
      <c r="J174" s="5">
        <v>5.5</v>
      </c>
      <c r="K174" s="5"/>
      <c r="L174" s="5"/>
      <c r="M174" s="5"/>
      <c r="N174" s="70" t="s">
        <v>461</v>
      </c>
    </row>
    <row r="175" spans="1:14" ht="21.6" customHeight="1" x14ac:dyDescent="0.25">
      <c r="A175" s="68" t="s">
        <v>462</v>
      </c>
      <c r="B175" s="5" t="s">
        <v>130</v>
      </c>
      <c r="C175" s="5" t="s">
        <v>203</v>
      </c>
      <c r="D175" s="5">
        <v>12</v>
      </c>
      <c r="E175" s="5">
        <v>20.6</v>
      </c>
      <c r="F175" s="1" t="s">
        <v>514</v>
      </c>
      <c r="G175" s="7">
        <v>8.6000000000000014</v>
      </c>
      <c r="H175" s="7"/>
      <c r="I175" s="5">
        <v>5.5</v>
      </c>
      <c r="J175" s="5">
        <v>5.5</v>
      </c>
      <c r="K175" s="5"/>
      <c r="L175" s="5"/>
      <c r="M175" s="5"/>
      <c r="N175" s="70" t="s">
        <v>283</v>
      </c>
    </row>
    <row r="176" spans="1:14" ht="21.6" customHeight="1" x14ac:dyDescent="0.25">
      <c r="A176" s="68" t="s">
        <v>463</v>
      </c>
      <c r="B176" s="5" t="s">
        <v>130</v>
      </c>
      <c r="C176" s="5" t="s">
        <v>206</v>
      </c>
      <c r="D176" s="5">
        <v>20.6</v>
      </c>
      <c r="E176" s="5">
        <v>27</v>
      </c>
      <c r="F176" s="1" t="s">
        <v>514</v>
      </c>
      <c r="G176" s="7">
        <v>6.3999999999999986</v>
      </c>
      <c r="H176" s="7"/>
      <c r="I176" s="5">
        <v>5.5</v>
      </c>
      <c r="J176" s="5">
        <v>5.5</v>
      </c>
      <c r="K176" s="5"/>
      <c r="L176" s="5"/>
      <c r="M176" s="5"/>
      <c r="N176" s="70" t="s">
        <v>464</v>
      </c>
    </row>
    <row r="177" spans="1:14" ht="21.6" customHeight="1" x14ac:dyDescent="0.25">
      <c r="A177" s="68" t="s">
        <v>465</v>
      </c>
      <c r="B177" s="5" t="s">
        <v>134</v>
      </c>
      <c r="C177" s="5" t="s">
        <v>203</v>
      </c>
      <c r="D177" s="5">
        <v>0</v>
      </c>
      <c r="E177" s="5">
        <v>34.200000000000003</v>
      </c>
      <c r="F177" s="1" t="s">
        <v>514</v>
      </c>
      <c r="G177" s="7">
        <v>34</v>
      </c>
      <c r="H177" s="7"/>
      <c r="I177" s="5">
        <v>6.5</v>
      </c>
      <c r="J177" s="5">
        <v>6.5</v>
      </c>
      <c r="K177" s="5"/>
      <c r="L177" s="5"/>
      <c r="M177" s="5"/>
      <c r="N177" s="70" t="s">
        <v>466</v>
      </c>
    </row>
    <row r="178" spans="1:14" ht="21.6" customHeight="1" x14ac:dyDescent="0.25">
      <c r="A178" s="68" t="s">
        <v>467</v>
      </c>
      <c r="B178" s="5" t="s">
        <v>137</v>
      </c>
      <c r="C178" s="5" t="s">
        <v>203</v>
      </c>
      <c r="D178" s="5">
        <v>0</v>
      </c>
      <c r="E178" s="5">
        <v>8.6999999999999993</v>
      </c>
      <c r="F178" s="1" t="s">
        <v>514</v>
      </c>
      <c r="G178" s="6">
        <v>8.6999999999999993</v>
      </c>
      <c r="H178" s="6"/>
      <c r="I178" s="5">
        <v>5.5</v>
      </c>
      <c r="J178" s="5">
        <v>5.5</v>
      </c>
      <c r="K178" s="5"/>
      <c r="L178" s="5"/>
      <c r="M178" s="5"/>
      <c r="N178" s="70" t="s">
        <v>283</v>
      </c>
    </row>
    <row r="179" spans="1:14" ht="21.6" customHeight="1" x14ac:dyDescent="0.25">
      <c r="A179" s="68" t="s">
        <v>468</v>
      </c>
      <c r="B179" s="5" t="s">
        <v>137</v>
      </c>
      <c r="C179" s="5" t="s">
        <v>203</v>
      </c>
      <c r="D179" s="5">
        <v>8.6999999999999993</v>
      </c>
      <c r="E179" s="5">
        <v>18.7</v>
      </c>
      <c r="F179" s="1" t="s">
        <v>514</v>
      </c>
      <c r="G179" s="6">
        <v>10</v>
      </c>
      <c r="H179" s="6"/>
      <c r="I179" s="5">
        <v>5.5</v>
      </c>
      <c r="J179" s="5">
        <v>5.5</v>
      </c>
      <c r="K179" s="5"/>
      <c r="L179" s="5"/>
      <c r="M179" s="5"/>
      <c r="N179" s="70" t="s">
        <v>469</v>
      </c>
    </row>
    <row r="180" spans="1:14" ht="21.6" customHeight="1" x14ac:dyDescent="0.25">
      <c r="A180" s="68" t="s">
        <v>470</v>
      </c>
      <c r="B180" s="5" t="s">
        <v>137</v>
      </c>
      <c r="C180" s="5" t="s">
        <v>203</v>
      </c>
      <c r="D180" s="5">
        <v>18.7</v>
      </c>
      <c r="E180" s="5">
        <v>26</v>
      </c>
      <c r="F180" s="1" t="s">
        <v>514</v>
      </c>
      <c r="G180" s="6">
        <v>7.3</v>
      </c>
      <c r="H180" s="6"/>
      <c r="I180" s="5">
        <v>5.5</v>
      </c>
      <c r="J180" s="5">
        <v>5.5</v>
      </c>
      <c r="K180" s="5"/>
      <c r="L180" s="5"/>
      <c r="M180" s="5"/>
      <c r="N180" s="70" t="s">
        <v>283</v>
      </c>
    </row>
    <row r="181" spans="1:14" ht="21.6" customHeight="1" x14ac:dyDescent="0.25">
      <c r="A181" s="68" t="s">
        <v>471</v>
      </c>
      <c r="B181" s="5" t="s">
        <v>141</v>
      </c>
      <c r="C181" s="5" t="s">
        <v>216</v>
      </c>
      <c r="D181" s="5">
        <v>0</v>
      </c>
      <c r="E181" s="5">
        <v>3</v>
      </c>
      <c r="F181" s="1" t="s">
        <v>514</v>
      </c>
      <c r="G181" s="6">
        <v>3</v>
      </c>
      <c r="H181" s="6"/>
      <c r="I181" s="5">
        <v>11</v>
      </c>
      <c r="J181" s="5">
        <v>11</v>
      </c>
      <c r="K181" s="5"/>
      <c r="L181" s="5"/>
      <c r="M181" s="5"/>
      <c r="N181" s="70" t="s">
        <v>472</v>
      </c>
    </row>
    <row r="182" spans="1:14" ht="21.6" customHeight="1" x14ac:dyDescent="0.25">
      <c r="A182" s="68" t="s">
        <v>473</v>
      </c>
      <c r="B182" s="5" t="s">
        <v>141</v>
      </c>
      <c r="C182" s="5" t="s">
        <v>203</v>
      </c>
      <c r="D182" s="5">
        <v>3</v>
      </c>
      <c r="E182" s="5">
        <v>5.63</v>
      </c>
      <c r="F182" s="1" t="s">
        <v>514</v>
      </c>
      <c r="G182" s="6">
        <v>2.63</v>
      </c>
      <c r="H182" s="6"/>
      <c r="I182" s="5">
        <v>7</v>
      </c>
      <c r="J182" s="5">
        <v>7</v>
      </c>
      <c r="K182" s="5"/>
      <c r="L182" s="5"/>
      <c r="M182" s="5"/>
      <c r="N182" s="70" t="s">
        <v>474</v>
      </c>
    </row>
    <row r="183" spans="1:14" ht="21.6" customHeight="1" x14ac:dyDescent="0.25">
      <c r="A183" s="68" t="s">
        <v>475</v>
      </c>
      <c r="B183" s="5" t="s">
        <v>141</v>
      </c>
      <c r="C183" s="5" t="s">
        <v>206</v>
      </c>
      <c r="D183" s="5">
        <v>5.63</v>
      </c>
      <c r="E183" s="5">
        <v>31.37</v>
      </c>
      <c r="F183" s="1" t="s">
        <v>514</v>
      </c>
      <c r="G183" s="6">
        <v>25.74</v>
      </c>
      <c r="H183" s="6"/>
      <c r="I183" s="5">
        <v>3.5</v>
      </c>
      <c r="J183" s="5">
        <v>3.5</v>
      </c>
      <c r="K183" s="5"/>
      <c r="L183" s="5"/>
      <c r="M183" s="5"/>
      <c r="N183" s="70" t="s">
        <v>476</v>
      </c>
    </row>
    <row r="184" spans="1:14" ht="21.6" customHeight="1" x14ac:dyDescent="0.25">
      <c r="A184" s="68" t="s">
        <v>477</v>
      </c>
      <c r="B184" s="5" t="s">
        <v>141</v>
      </c>
      <c r="C184" s="5" t="s">
        <v>203</v>
      </c>
      <c r="D184" s="5">
        <v>31.37</v>
      </c>
      <c r="E184" s="5">
        <v>33</v>
      </c>
      <c r="F184" s="1" t="s">
        <v>514</v>
      </c>
      <c r="G184" s="6">
        <v>1.63</v>
      </c>
      <c r="H184" s="6"/>
      <c r="I184" s="5">
        <v>5.5</v>
      </c>
      <c r="J184" s="5">
        <v>5.5</v>
      </c>
      <c r="K184" s="5"/>
      <c r="L184" s="5"/>
      <c r="M184" s="5"/>
      <c r="N184" s="70" t="s">
        <v>283</v>
      </c>
    </row>
    <row r="185" spans="1:14" ht="21.6" customHeight="1" x14ac:dyDescent="0.25">
      <c r="A185" s="68" t="s">
        <v>478</v>
      </c>
      <c r="B185" s="5" t="s">
        <v>145</v>
      </c>
      <c r="C185" s="5" t="s">
        <v>203</v>
      </c>
      <c r="D185" s="5">
        <v>0</v>
      </c>
      <c r="E185" s="5">
        <v>20</v>
      </c>
      <c r="F185" s="1" t="s">
        <v>514</v>
      </c>
      <c r="G185" s="6">
        <v>20</v>
      </c>
      <c r="H185" s="6"/>
      <c r="I185" s="5">
        <v>5.5</v>
      </c>
      <c r="J185" s="5">
        <v>5.5</v>
      </c>
      <c r="K185" s="5"/>
      <c r="L185" s="5"/>
      <c r="M185" s="5"/>
      <c r="N185" s="70" t="s">
        <v>479</v>
      </c>
    </row>
    <row r="186" spans="1:14" ht="21.6" customHeight="1" x14ac:dyDescent="0.25">
      <c r="A186" s="68" t="s">
        <v>480</v>
      </c>
      <c r="B186" s="5" t="s">
        <v>145</v>
      </c>
      <c r="C186" s="5" t="s">
        <v>206</v>
      </c>
      <c r="D186" s="5">
        <v>20</v>
      </c>
      <c r="E186" s="5">
        <v>52</v>
      </c>
      <c r="F186" s="1" t="s">
        <v>515</v>
      </c>
      <c r="G186" s="6">
        <v>32</v>
      </c>
      <c r="H186" s="6"/>
      <c r="I186" s="5"/>
      <c r="J186" s="5"/>
      <c r="K186" s="5"/>
      <c r="L186" s="5"/>
      <c r="M186" s="5"/>
      <c r="N186" s="70" t="s">
        <v>333</v>
      </c>
    </row>
    <row r="187" spans="1:14" ht="21.6" customHeight="1" x14ac:dyDescent="0.25">
      <c r="A187" s="68" t="s">
        <v>481</v>
      </c>
      <c r="B187" s="5" t="s">
        <v>149</v>
      </c>
      <c r="C187" s="5" t="s">
        <v>203</v>
      </c>
      <c r="D187" s="5">
        <v>0</v>
      </c>
      <c r="E187" s="5">
        <v>19.5</v>
      </c>
      <c r="F187" s="5"/>
      <c r="G187" s="6">
        <v>19.5</v>
      </c>
      <c r="H187" s="6"/>
      <c r="I187" s="5">
        <v>5.5</v>
      </c>
      <c r="J187" s="5">
        <v>5.5</v>
      </c>
      <c r="K187" s="5"/>
      <c r="L187" s="5"/>
      <c r="M187" s="5"/>
      <c r="N187" s="70" t="s">
        <v>283</v>
      </c>
    </row>
    <row r="188" spans="1:14" ht="21.6" customHeight="1" x14ac:dyDescent="0.25">
      <c r="A188" s="68" t="s">
        <v>482</v>
      </c>
      <c r="B188" s="5" t="s">
        <v>153</v>
      </c>
      <c r="C188" s="5" t="s">
        <v>203</v>
      </c>
      <c r="D188" s="5">
        <v>0</v>
      </c>
      <c r="E188" s="5">
        <v>2.2069999999999999</v>
      </c>
      <c r="F188" s="1" t="s">
        <v>514</v>
      </c>
      <c r="G188" s="6">
        <v>2.2069999999999999</v>
      </c>
      <c r="H188" s="6"/>
      <c r="I188" s="5">
        <v>7.5</v>
      </c>
      <c r="J188" s="5">
        <v>7.5</v>
      </c>
      <c r="K188" s="5"/>
      <c r="L188" s="5"/>
      <c r="M188" s="5"/>
      <c r="N188" s="70" t="s">
        <v>483</v>
      </c>
    </row>
    <row r="189" spans="1:14" ht="21.6" customHeight="1" x14ac:dyDescent="0.25">
      <c r="A189" s="68" t="s">
        <v>484</v>
      </c>
      <c r="B189" s="5" t="s">
        <v>153</v>
      </c>
      <c r="C189" s="5" t="s">
        <v>203</v>
      </c>
      <c r="D189" s="5">
        <v>2.2069999999999999</v>
      </c>
      <c r="E189" s="5">
        <v>16</v>
      </c>
      <c r="F189" s="1" t="s">
        <v>514</v>
      </c>
      <c r="G189" s="6">
        <v>13.792999999999999</v>
      </c>
      <c r="H189" s="6"/>
      <c r="I189" s="5">
        <v>5.5</v>
      </c>
      <c r="J189" s="5">
        <v>5.5</v>
      </c>
      <c r="K189" s="5"/>
      <c r="L189" s="5"/>
      <c r="M189" s="5"/>
      <c r="N189" s="70" t="s">
        <v>469</v>
      </c>
    </row>
    <row r="190" spans="1:14" ht="21.6" customHeight="1" x14ac:dyDescent="0.25">
      <c r="A190" s="68" t="s">
        <v>485</v>
      </c>
      <c r="B190" s="5" t="s">
        <v>158</v>
      </c>
      <c r="C190" s="5" t="s">
        <v>203</v>
      </c>
      <c r="D190" s="5">
        <v>0</v>
      </c>
      <c r="E190" s="5">
        <v>6.8140000000000001</v>
      </c>
      <c r="F190" s="1" t="s">
        <v>514</v>
      </c>
      <c r="G190" s="6">
        <v>6.8140000000000001</v>
      </c>
      <c r="H190" s="6"/>
      <c r="I190" s="5">
        <v>5.5</v>
      </c>
      <c r="J190" s="5">
        <v>5.5</v>
      </c>
      <c r="K190" s="5"/>
      <c r="L190" s="5"/>
      <c r="M190" s="5"/>
      <c r="N190" s="70" t="s">
        <v>283</v>
      </c>
    </row>
    <row r="191" spans="1:14" ht="21.6" customHeight="1" x14ac:dyDescent="0.25">
      <c r="A191" s="68" t="s">
        <v>486</v>
      </c>
      <c r="B191" s="5" t="s">
        <v>158</v>
      </c>
      <c r="C191" s="5" t="s">
        <v>203</v>
      </c>
      <c r="D191" s="5">
        <v>8.09</v>
      </c>
      <c r="E191" s="5">
        <v>12.084</v>
      </c>
      <c r="F191" s="1" t="s">
        <v>514</v>
      </c>
      <c r="G191" s="6">
        <v>3.9940000000000002</v>
      </c>
      <c r="H191" s="6"/>
      <c r="I191" s="5">
        <v>5.5</v>
      </c>
      <c r="J191" s="5">
        <v>5.5</v>
      </c>
      <c r="K191" s="5"/>
      <c r="L191" s="5"/>
      <c r="M191" s="5"/>
      <c r="N191" s="70" t="s">
        <v>283</v>
      </c>
    </row>
    <row r="192" spans="1:14" ht="21.6" customHeight="1" x14ac:dyDescent="0.25">
      <c r="A192" s="68" t="s">
        <v>487</v>
      </c>
      <c r="B192" s="5" t="s">
        <v>158</v>
      </c>
      <c r="C192" s="5" t="s">
        <v>203</v>
      </c>
      <c r="D192" s="5">
        <v>12.084</v>
      </c>
      <c r="E192" s="5">
        <v>18.364999999999998</v>
      </c>
      <c r="F192" s="1" t="s">
        <v>514</v>
      </c>
      <c r="G192" s="6">
        <v>6.2809999999999997</v>
      </c>
      <c r="H192" s="6"/>
      <c r="I192" s="5">
        <v>5.5</v>
      </c>
      <c r="J192" s="5">
        <v>5.5</v>
      </c>
      <c r="K192" s="5"/>
      <c r="L192" s="5"/>
      <c r="M192" s="5"/>
      <c r="N192" s="70" t="s">
        <v>469</v>
      </c>
    </row>
    <row r="193" spans="1:14" ht="21.6" customHeight="1" x14ac:dyDescent="0.25">
      <c r="A193" s="68" t="s">
        <v>488</v>
      </c>
      <c r="B193" s="5" t="s">
        <v>162</v>
      </c>
      <c r="C193" s="5" t="s">
        <v>203</v>
      </c>
      <c r="D193" s="5">
        <v>0</v>
      </c>
      <c r="E193" s="5">
        <v>11.3</v>
      </c>
      <c r="F193" s="5"/>
      <c r="G193" s="7">
        <v>11.3</v>
      </c>
      <c r="H193" s="7"/>
      <c r="I193" s="5">
        <v>5.5</v>
      </c>
      <c r="J193" s="5">
        <v>5.5</v>
      </c>
      <c r="K193" s="5"/>
      <c r="L193" s="5"/>
      <c r="M193" s="5"/>
      <c r="N193" s="70" t="s">
        <v>489</v>
      </c>
    </row>
    <row r="194" spans="1:14" ht="21.6" customHeight="1" x14ac:dyDescent="0.25">
      <c r="A194" s="68" t="s">
        <v>490</v>
      </c>
      <c r="B194" s="5" t="s">
        <v>166</v>
      </c>
      <c r="C194" s="5" t="s">
        <v>216</v>
      </c>
      <c r="D194" s="5">
        <v>0</v>
      </c>
      <c r="E194" s="5">
        <v>1.8</v>
      </c>
      <c r="F194" s="5"/>
      <c r="G194" s="6">
        <v>2.2200000000000002</v>
      </c>
      <c r="H194" s="6"/>
      <c r="I194" s="5">
        <v>10.5</v>
      </c>
      <c r="J194" s="5">
        <v>10.5</v>
      </c>
      <c r="K194" s="5"/>
      <c r="L194" s="5"/>
      <c r="M194" s="5"/>
      <c r="N194" s="70" t="s">
        <v>491</v>
      </c>
    </row>
    <row r="195" spans="1:14" ht="21.6" customHeight="1" x14ac:dyDescent="0.25">
      <c r="A195" s="68" t="s">
        <v>492</v>
      </c>
      <c r="B195" s="5" t="s">
        <v>169</v>
      </c>
      <c r="C195" s="5" t="s">
        <v>206</v>
      </c>
      <c r="D195" s="5">
        <v>0</v>
      </c>
      <c r="E195" s="5">
        <v>5.4</v>
      </c>
      <c r="F195" s="5"/>
      <c r="G195" s="7">
        <v>5.4</v>
      </c>
      <c r="H195" s="7"/>
      <c r="I195" s="5">
        <v>5.5</v>
      </c>
      <c r="J195" s="5">
        <v>5.5</v>
      </c>
      <c r="K195" s="5"/>
      <c r="L195" s="5"/>
      <c r="M195" s="5"/>
      <c r="N195" s="70" t="s">
        <v>493</v>
      </c>
    </row>
    <row r="196" spans="1:14" ht="21.6" customHeight="1" x14ac:dyDescent="0.25">
      <c r="A196" s="68" t="s">
        <v>494</v>
      </c>
      <c r="B196" s="5" t="s">
        <v>169</v>
      </c>
      <c r="C196" s="5" t="s">
        <v>206</v>
      </c>
      <c r="D196" s="5">
        <v>5.4</v>
      </c>
      <c r="E196" s="5">
        <v>8</v>
      </c>
      <c r="F196" s="5"/>
      <c r="G196" s="7">
        <v>2.6</v>
      </c>
      <c r="H196" s="7"/>
      <c r="I196" s="5">
        <v>5.5</v>
      </c>
      <c r="J196" s="5">
        <v>5.5</v>
      </c>
      <c r="K196" s="5"/>
      <c r="L196" s="5"/>
      <c r="M196" s="5"/>
      <c r="N196" s="70" t="s">
        <v>495</v>
      </c>
    </row>
    <row r="197" spans="1:14" ht="21.6" customHeight="1" x14ac:dyDescent="0.25">
      <c r="A197" s="68" t="s">
        <v>496</v>
      </c>
      <c r="B197" s="5" t="s">
        <v>172</v>
      </c>
      <c r="C197" s="5" t="s">
        <v>216</v>
      </c>
      <c r="D197" s="5">
        <v>0</v>
      </c>
      <c r="E197" s="5">
        <v>5.6</v>
      </c>
      <c r="F197" s="5"/>
      <c r="G197" s="7">
        <v>5.6</v>
      </c>
      <c r="H197" s="7"/>
      <c r="I197" s="5">
        <v>21</v>
      </c>
      <c r="J197" s="5">
        <v>21</v>
      </c>
      <c r="K197" s="5"/>
      <c r="L197" s="5"/>
      <c r="M197" s="5"/>
      <c r="N197" s="70" t="s">
        <v>497</v>
      </c>
    </row>
    <row r="198" spans="1:14" ht="21.6" customHeight="1" x14ac:dyDescent="0.25">
      <c r="A198" s="68" t="s">
        <v>498</v>
      </c>
      <c r="B198" s="5" t="s">
        <v>176</v>
      </c>
      <c r="C198" s="5" t="s">
        <v>216</v>
      </c>
      <c r="D198" s="5">
        <v>0</v>
      </c>
      <c r="E198" s="5">
        <v>10.5</v>
      </c>
      <c r="F198" s="5"/>
      <c r="G198" s="7">
        <v>10.97</v>
      </c>
      <c r="H198" s="7"/>
      <c r="I198" s="5">
        <v>21</v>
      </c>
      <c r="J198" s="5">
        <v>21</v>
      </c>
      <c r="K198" s="5"/>
      <c r="L198" s="5"/>
      <c r="M198" s="5"/>
      <c r="N198" s="70" t="s">
        <v>497</v>
      </c>
    </row>
    <row r="199" spans="1:14" ht="21.6" customHeight="1" x14ac:dyDescent="0.25">
      <c r="A199" s="68" t="s">
        <v>499</v>
      </c>
      <c r="B199" s="5" t="s">
        <v>179</v>
      </c>
      <c r="C199" s="5" t="s">
        <v>216</v>
      </c>
      <c r="D199" s="5">
        <v>0</v>
      </c>
      <c r="E199" s="5">
        <v>3.7</v>
      </c>
      <c r="F199" s="5"/>
      <c r="G199" s="7">
        <v>3.7</v>
      </c>
      <c r="H199" s="7"/>
      <c r="I199" s="5">
        <v>7.5</v>
      </c>
      <c r="J199" s="5">
        <v>7.5</v>
      </c>
      <c r="K199" s="5"/>
      <c r="L199" s="5"/>
      <c r="M199" s="5"/>
      <c r="N199" s="70" t="s">
        <v>301</v>
      </c>
    </row>
    <row r="200" spans="1:14" ht="21.6" customHeight="1" x14ac:dyDescent="0.25">
      <c r="A200" s="68" t="s">
        <v>500</v>
      </c>
      <c r="B200" s="5" t="s">
        <v>179</v>
      </c>
      <c r="C200" s="5" t="s">
        <v>203</v>
      </c>
      <c r="D200" s="5">
        <v>3.7</v>
      </c>
      <c r="E200" s="5">
        <v>7.3</v>
      </c>
      <c r="F200" s="5"/>
      <c r="G200" s="7">
        <v>3.5999999999999996</v>
      </c>
      <c r="H200" s="7"/>
      <c r="I200" s="5">
        <v>5.5</v>
      </c>
      <c r="J200" s="5">
        <v>5.5</v>
      </c>
      <c r="K200" s="5"/>
      <c r="L200" s="5"/>
      <c r="M200" s="5"/>
      <c r="N200" s="70" t="s">
        <v>272</v>
      </c>
    </row>
    <row r="201" spans="1:14" ht="21.6" customHeight="1" x14ac:dyDescent="0.25">
      <c r="A201" s="68" t="s">
        <v>501</v>
      </c>
      <c r="B201" s="5" t="s">
        <v>182</v>
      </c>
      <c r="C201" s="5" t="s">
        <v>216</v>
      </c>
      <c r="D201" s="5">
        <v>0</v>
      </c>
      <c r="E201" s="5">
        <v>1.89</v>
      </c>
      <c r="F201" s="5"/>
      <c r="G201" s="7">
        <v>1.9</v>
      </c>
      <c r="H201" s="7"/>
      <c r="I201" s="5">
        <v>15</v>
      </c>
      <c r="J201" s="5">
        <v>15</v>
      </c>
      <c r="K201" s="5"/>
      <c r="L201" s="5"/>
      <c r="M201" s="5"/>
      <c r="N201" s="70" t="s">
        <v>502</v>
      </c>
    </row>
    <row r="202" spans="1:14" ht="21.6" customHeight="1" x14ac:dyDescent="0.25">
      <c r="A202" s="68" t="s">
        <v>503</v>
      </c>
      <c r="B202" s="5" t="s">
        <v>184</v>
      </c>
      <c r="C202" s="5" t="s">
        <v>216</v>
      </c>
      <c r="D202" s="5">
        <v>0</v>
      </c>
      <c r="E202" s="5">
        <v>4.0999999999999996</v>
      </c>
      <c r="F202" s="5"/>
      <c r="G202" s="7">
        <v>4.0999999999999996</v>
      </c>
      <c r="H202" s="7"/>
      <c r="I202" s="5">
        <v>15</v>
      </c>
      <c r="J202" s="5">
        <v>15</v>
      </c>
      <c r="K202" s="5"/>
      <c r="L202" s="5"/>
      <c r="M202" s="5"/>
      <c r="N202" s="70" t="s">
        <v>502</v>
      </c>
    </row>
    <row r="203" spans="1:14" ht="21.6" customHeight="1" x14ac:dyDescent="0.25">
      <c r="A203" s="68" t="s">
        <v>504</v>
      </c>
      <c r="B203" s="5" t="s">
        <v>186</v>
      </c>
      <c r="C203" s="5" t="s">
        <v>216</v>
      </c>
      <c r="D203" s="5">
        <v>0</v>
      </c>
      <c r="E203" s="5">
        <v>6.8</v>
      </c>
      <c r="F203" s="5"/>
      <c r="G203" s="7">
        <v>6.7</v>
      </c>
      <c r="H203" s="7"/>
      <c r="I203" s="5">
        <v>21</v>
      </c>
      <c r="J203" s="5">
        <v>21</v>
      </c>
      <c r="K203" s="5"/>
      <c r="L203" s="5"/>
      <c r="M203" s="5"/>
      <c r="N203" s="70" t="s">
        <v>505</v>
      </c>
    </row>
    <row r="204" spans="1:14" ht="21.6" customHeight="1" x14ac:dyDescent="0.25">
      <c r="A204" s="68" t="s">
        <v>506</v>
      </c>
      <c r="B204" s="5" t="s">
        <v>186</v>
      </c>
      <c r="C204" s="5" t="s">
        <v>216</v>
      </c>
      <c r="D204" s="5">
        <v>7.6</v>
      </c>
      <c r="E204" s="5">
        <v>12.2</v>
      </c>
      <c r="F204" s="5"/>
      <c r="G204" s="7">
        <v>4.5999999999999996</v>
      </c>
      <c r="H204" s="7"/>
      <c r="I204" s="5">
        <v>21</v>
      </c>
      <c r="J204" s="5">
        <v>21</v>
      </c>
      <c r="K204" s="5"/>
      <c r="L204" s="5"/>
      <c r="M204" s="5"/>
      <c r="N204" s="70" t="s">
        <v>505</v>
      </c>
    </row>
    <row r="205" spans="1:14" ht="21.6" customHeight="1" x14ac:dyDescent="0.25">
      <c r="A205" s="68" t="s">
        <v>507</v>
      </c>
      <c r="B205" s="5" t="s">
        <v>186</v>
      </c>
      <c r="C205" s="5" t="s">
        <v>216</v>
      </c>
      <c r="D205" s="5">
        <v>0</v>
      </c>
      <c r="E205" s="5">
        <v>2</v>
      </c>
      <c r="F205" s="5"/>
      <c r="G205" s="7">
        <v>2</v>
      </c>
      <c r="H205" s="7"/>
      <c r="I205" s="5">
        <v>21</v>
      </c>
      <c r="J205" s="5">
        <v>21</v>
      </c>
      <c r="K205" s="5"/>
      <c r="L205" s="5"/>
      <c r="M205" s="5"/>
      <c r="N205" s="70" t="s">
        <v>505</v>
      </c>
    </row>
    <row r="206" spans="1:14" ht="21.6" customHeight="1" x14ac:dyDescent="0.25">
      <c r="A206" s="68" t="s">
        <v>508</v>
      </c>
      <c r="B206" s="5" t="s">
        <v>186</v>
      </c>
      <c r="C206" s="5" t="s">
        <v>216</v>
      </c>
      <c r="D206" s="5">
        <v>0</v>
      </c>
      <c r="E206" s="5">
        <v>2.0299999999999998</v>
      </c>
      <c r="F206" s="5"/>
      <c r="G206" s="7">
        <v>2</v>
      </c>
      <c r="H206" s="7"/>
      <c r="I206" s="5">
        <v>21</v>
      </c>
      <c r="J206" s="5">
        <v>21</v>
      </c>
      <c r="K206" s="5"/>
      <c r="L206" s="5"/>
      <c r="M206" s="5"/>
      <c r="N206" s="70" t="s">
        <v>505</v>
      </c>
    </row>
    <row r="207" spans="1:14" ht="21.6" customHeight="1" x14ac:dyDescent="0.25">
      <c r="A207" s="68" t="s">
        <v>509</v>
      </c>
      <c r="B207" s="5" t="s">
        <v>189</v>
      </c>
      <c r="C207" s="5" t="s">
        <v>203</v>
      </c>
      <c r="D207" s="5">
        <v>0</v>
      </c>
      <c r="E207" s="5">
        <v>49.116999999999997</v>
      </c>
      <c r="F207" s="5"/>
      <c r="G207" s="6">
        <v>45.81</v>
      </c>
      <c r="H207" s="6"/>
      <c r="I207" s="5">
        <v>5</v>
      </c>
      <c r="J207" s="5">
        <v>5</v>
      </c>
      <c r="K207" s="5"/>
      <c r="L207" s="5"/>
      <c r="M207" s="5"/>
      <c r="N207" s="70" t="s">
        <v>510</v>
      </c>
    </row>
    <row r="208" spans="1:14" ht="21.6" customHeight="1" x14ac:dyDescent="0.25">
      <c r="A208" s="77" t="s">
        <v>520</v>
      </c>
      <c r="B208" s="78" t="s">
        <v>191</v>
      </c>
      <c r="C208" s="79"/>
      <c r="D208" s="78">
        <v>0</v>
      </c>
      <c r="E208" s="80">
        <v>7.51</v>
      </c>
      <c r="F208" s="79"/>
      <c r="G208" s="80">
        <v>7.51</v>
      </c>
      <c r="H208" s="80"/>
      <c r="I208" s="81" t="s">
        <v>521</v>
      </c>
      <c r="J208" s="81" t="s">
        <v>522</v>
      </c>
      <c r="K208" s="79"/>
      <c r="L208" s="79"/>
      <c r="M208" s="79"/>
      <c r="N208" s="82" t="s">
        <v>523</v>
      </c>
    </row>
  </sheetData>
  <phoneticPr fontId="6"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pane ySplit="1" topLeftCell="A2" activePane="bottomLeft" state="frozen"/>
      <selection pane="bottomLeft" activeCell="F3" sqref="F3"/>
    </sheetView>
  </sheetViews>
  <sheetFormatPr defaultRowHeight="14.4" x14ac:dyDescent="0.3"/>
  <cols>
    <col min="1" max="8" width="15.5546875" style="9" customWidth="1"/>
    <col min="9" max="9" width="55.5546875" bestFit="1" customWidth="1"/>
  </cols>
  <sheetData>
    <row r="1" spans="1:9" ht="51" customHeight="1" x14ac:dyDescent="0.3">
      <c r="A1" s="83" t="s">
        <v>511</v>
      </c>
      <c r="B1" s="84" t="s">
        <v>613</v>
      </c>
      <c r="C1" s="84" t="s">
        <v>512</v>
      </c>
      <c r="D1" s="84" t="s">
        <v>609</v>
      </c>
      <c r="E1" s="84" t="s">
        <v>610</v>
      </c>
      <c r="F1" s="85" t="s">
        <v>612</v>
      </c>
      <c r="G1" s="85" t="s">
        <v>611</v>
      </c>
      <c r="H1" s="84" t="s">
        <v>618</v>
      </c>
      <c r="I1" s="86" t="s">
        <v>14</v>
      </c>
    </row>
    <row r="2" spans="1:9" ht="31.8" customHeight="1" x14ac:dyDescent="0.3">
      <c r="A2" s="87" t="s">
        <v>20</v>
      </c>
      <c r="B2" s="88" t="s">
        <v>36</v>
      </c>
      <c r="C2" s="88" t="s">
        <v>296</v>
      </c>
      <c r="D2" s="88">
        <v>140.893</v>
      </c>
      <c r="E2" s="88">
        <v>149</v>
      </c>
      <c r="F2" s="88"/>
      <c r="G2" s="88"/>
      <c r="H2" s="88">
        <f>Table18[[#This Row],[Lý trình cuối đi chung]]-Table18[[#This Row],[Lý trình đầu đi chung]]</f>
        <v>8.1069999999999993</v>
      </c>
      <c r="I2" s="89" t="s">
        <v>614</v>
      </c>
    </row>
    <row r="3" spans="1:9" ht="31.8" customHeight="1" x14ac:dyDescent="0.3">
      <c r="A3" s="87" t="s">
        <v>24</v>
      </c>
      <c r="B3" s="88" t="s">
        <v>36</v>
      </c>
      <c r="C3" s="88" t="s">
        <v>288</v>
      </c>
      <c r="D3" s="88">
        <v>35.6</v>
      </c>
      <c r="E3" s="88">
        <v>36.975000000000001</v>
      </c>
      <c r="F3" s="88"/>
      <c r="G3" s="88"/>
      <c r="H3" s="88">
        <f>Table18[[#This Row],[Lý trình cuối đi chung]]-Table18[[#This Row],[Lý trình đầu đi chung]]</f>
        <v>1.375</v>
      </c>
      <c r="I3" s="89" t="s">
        <v>615</v>
      </c>
    </row>
    <row r="4" spans="1:9" ht="31.8" customHeight="1" x14ac:dyDescent="0.3">
      <c r="A4" s="87" t="s">
        <v>24</v>
      </c>
      <c r="B4" s="88" t="s">
        <v>20</v>
      </c>
      <c r="C4" s="88" t="s">
        <v>213</v>
      </c>
      <c r="D4" s="88">
        <v>79.757000000000005</v>
      </c>
      <c r="E4" s="88">
        <v>82.956999999999994</v>
      </c>
      <c r="F4" s="88"/>
      <c r="G4" s="88"/>
      <c r="H4" s="88">
        <f>Table18[[#This Row],[Lý trình cuối đi chung]]-Table18[[#This Row],[Lý trình đầu đi chung]]</f>
        <v>3.1999999999999886</v>
      </c>
      <c r="I4" s="89" t="s">
        <v>616</v>
      </c>
    </row>
    <row r="5" spans="1:9" ht="31.8" customHeight="1" x14ac:dyDescent="0.3">
      <c r="A5" s="87" t="s">
        <v>47</v>
      </c>
      <c r="B5" s="88" t="s">
        <v>32</v>
      </c>
      <c r="C5" s="88" t="s">
        <v>600</v>
      </c>
      <c r="D5" s="88">
        <v>162</v>
      </c>
      <c r="E5" s="88">
        <v>172</v>
      </c>
      <c r="F5" s="88"/>
      <c r="G5" s="88"/>
      <c r="H5" s="88">
        <f>Table18[[#This Row],[Lý trình cuối đi chung]]-Table18[[#This Row],[Lý trình đầu đi chung]]</f>
        <v>10</v>
      </c>
      <c r="I5" s="89" t="s">
        <v>601</v>
      </c>
    </row>
    <row r="6" spans="1:9" ht="31.8" customHeight="1" x14ac:dyDescent="0.3">
      <c r="A6" s="87" t="s">
        <v>71</v>
      </c>
      <c r="B6" s="88" t="s">
        <v>24</v>
      </c>
      <c r="C6" s="88" t="s">
        <v>227</v>
      </c>
      <c r="D6" s="88">
        <v>18.3</v>
      </c>
      <c r="E6" s="88">
        <v>21.1</v>
      </c>
      <c r="F6" s="88"/>
      <c r="G6" s="88"/>
      <c r="H6" s="88">
        <f>Table18[[#This Row],[Lý trình cuối đi chung]]-Table18[[#This Row],[Lý trình đầu đi chung]]</f>
        <v>2.8000000000000007</v>
      </c>
      <c r="I6" s="89" t="s">
        <v>617</v>
      </c>
    </row>
    <row r="7" spans="1:9" ht="31.8" customHeight="1" x14ac:dyDescent="0.3">
      <c r="A7" s="87" t="s">
        <v>79</v>
      </c>
      <c r="B7" s="88" t="s">
        <v>20</v>
      </c>
      <c r="C7" s="88" t="s">
        <v>20</v>
      </c>
      <c r="D7" s="88">
        <v>43.5</v>
      </c>
      <c r="E7" s="88">
        <v>47.1</v>
      </c>
      <c r="F7" s="88"/>
      <c r="G7" s="88"/>
      <c r="H7" s="88">
        <f>Table18[[#This Row],[Lý trình cuối đi chung]]-Table18[[#This Row],[Lý trình đầu đi chung]]</f>
        <v>3.6000000000000014</v>
      </c>
      <c r="I7" s="89" t="s">
        <v>602</v>
      </c>
    </row>
    <row r="8" spans="1:9" ht="31.8" customHeight="1" x14ac:dyDescent="0.3">
      <c r="A8" s="87" t="s">
        <v>98</v>
      </c>
      <c r="B8" s="88" t="s">
        <v>15</v>
      </c>
      <c r="C8" s="88" t="s">
        <v>15</v>
      </c>
      <c r="D8" s="88">
        <v>12</v>
      </c>
      <c r="E8" s="88">
        <v>13.24</v>
      </c>
      <c r="F8" s="88"/>
      <c r="G8" s="88"/>
      <c r="H8" s="88">
        <f>Table18[[#This Row],[Lý trình cuối đi chung]]-Table18[[#This Row],[Lý trình đầu đi chung]]</f>
        <v>1.2400000000000002</v>
      </c>
      <c r="I8" s="89" t="s">
        <v>603</v>
      </c>
    </row>
    <row r="9" spans="1:9" ht="31.8" customHeight="1" x14ac:dyDescent="0.3">
      <c r="A9" s="87" t="s">
        <v>98</v>
      </c>
      <c r="B9" s="88" t="s">
        <v>24</v>
      </c>
      <c r="C9" s="88" t="s">
        <v>24</v>
      </c>
      <c r="D9" s="88">
        <v>49.42</v>
      </c>
      <c r="E9" s="88">
        <v>61.02</v>
      </c>
      <c r="F9" s="88"/>
      <c r="G9" s="88"/>
      <c r="H9" s="88">
        <f>Table18[[#This Row],[Lý trình cuối đi chung]]-Table18[[#This Row],[Lý trình đầu đi chung]]</f>
        <v>11.600000000000001</v>
      </c>
      <c r="I9" s="89" t="s">
        <v>604</v>
      </c>
    </row>
    <row r="10" spans="1:9" ht="31.8" customHeight="1" x14ac:dyDescent="0.3">
      <c r="A10" s="87" t="s">
        <v>98</v>
      </c>
      <c r="B10" s="88" t="s">
        <v>15</v>
      </c>
      <c r="C10" s="88" t="s">
        <v>15</v>
      </c>
      <c r="D10" s="88">
        <v>61.02</v>
      </c>
      <c r="E10" s="88">
        <v>67.75</v>
      </c>
      <c r="F10" s="88"/>
      <c r="G10" s="88"/>
      <c r="H10" s="88">
        <f>Table18[[#This Row],[Lý trình cuối đi chung]]-Table18[[#This Row],[Lý trình đầu đi chung]]</f>
        <v>6.7299999999999969</v>
      </c>
      <c r="I10" s="89" t="s">
        <v>605</v>
      </c>
    </row>
    <row r="11" spans="1:9" ht="31.8" customHeight="1" x14ac:dyDescent="0.3">
      <c r="A11" s="87" t="s">
        <v>102</v>
      </c>
      <c r="B11" s="88" t="s">
        <v>51</v>
      </c>
      <c r="C11" s="88" t="s">
        <v>51</v>
      </c>
      <c r="D11" s="88">
        <v>81</v>
      </c>
      <c r="E11" s="88">
        <v>88</v>
      </c>
      <c r="F11" s="88"/>
      <c r="G11" s="88"/>
      <c r="H11" s="88">
        <f>Table18[[#This Row],[Lý trình cuối đi chung]]-Table18[[#This Row],[Lý trình đầu đi chung]]</f>
        <v>7</v>
      </c>
      <c r="I11" s="89" t="s">
        <v>608</v>
      </c>
    </row>
    <row r="12" spans="1:9" ht="31.8" customHeight="1" x14ac:dyDescent="0.3">
      <c r="A12" s="87" t="s">
        <v>109</v>
      </c>
      <c r="B12" s="88" t="s">
        <v>51</v>
      </c>
      <c r="C12" s="88" t="s">
        <v>334</v>
      </c>
      <c r="D12" s="88">
        <v>32.6</v>
      </c>
      <c r="E12" s="88">
        <v>33</v>
      </c>
      <c r="F12" s="88"/>
      <c r="G12" s="88"/>
      <c r="H12" s="88">
        <f>Table18[[#This Row],[Lý trình cuối đi chung]]-Table18[[#This Row],[Lý trình đầu đi chung]]</f>
        <v>0.39999999999999858</v>
      </c>
      <c r="I12" s="89" t="s">
        <v>606</v>
      </c>
    </row>
    <row r="13" spans="1:9" ht="31.8" customHeight="1" x14ac:dyDescent="0.3">
      <c r="A13" s="90" t="s">
        <v>158</v>
      </c>
      <c r="B13" s="91" t="s">
        <v>137</v>
      </c>
      <c r="C13" s="91" t="s">
        <v>467</v>
      </c>
      <c r="D13" s="91">
        <v>6.8140000000000001</v>
      </c>
      <c r="E13" s="91">
        <v>8.09</v>
      </c>
      <c r="F13" s="91"/>
      <c r="G13" s="91"/>
      <c r="H13" s="91">
        <f>Table18[[#This Row],[Lý trình cuối đi chung]]-Table18[[#This Row],[Lý trình đầu đi chung]]</f>
        <v>1.2759999999999998</v>
      </c>
      <c r="I13" s="92" t="s">
        <v>607</v>
      </c>
    </row>
  </sheetData>
  <phoneticPr fontId="6"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C9785-08B5-4E68-8B97-6023F690AFBF}">
  <dimension ref="A1:C10"/>
  <sheetViews>
    <sheetView workbookViewId="0">
      <selection activeCell="A2" sqref="A2:C10"/>
    </sheetView>
  </sheetViews>
  <sheetFormatPr defaultRowHeight="14.4" x14ac:dyDescent="0.3"/>
  <cols>
    <col min="1" max="1" width="20" style="9" customWidth="1"/>
    <col min="2" max="2" width="25.6640625" style="9" customWidth="1"/>
    <col min="3" max="3" width="89.44140625" customWidth="1"/>
    <col min="4" max="4" width="76.5546875" customWidth="1"/>
  </cols>
  <sheetData>
    <row r="1" spans="1:3" ht="43.2" customHeight="1" thickBot="1" x14ac:dyDescent="0.35">
      <c r="A1" s="22" t="s">
        <v>576</v>
      </c>
      <c r="B1" s="23" t="s">
        <v>577</v>
      </c>
      <c r="C1" s="24" t="s">
        <v>541</v>
      </c>
    </row>
    <row r="2" spans="1:3" ht="32.4" customHeight="1" thickBot="1" x14ac:dyDescent="0.35">
      <c r="A2" s="20" t="s">
        <v>578</v>
      </c>
      <c r="B2" s="15" t="s">
        <v>514</v>
      </c>
      <c r="C2" s="21" t="s">
        <v>579</v>
      </c>
    </row>
    <row r="3" spans="1:3" ht="32.4" customHeight="1" thickBot="1" x14ac:dyDescent="0.35">
      <c r="A3" s="20" t="s">
        <v>580</v>
      </c>
      <c r="B3" s="15" t="s">
        <v>516</v>
      </c>
      <c r="C3" s="21" t="s">
        <v>581</v>
      </c>
    </row>
    <row r="4" spans="1:3" ht="32.4" customHeight="1" thickBot="1" x14ac:dyDescent="0.35">
      <c r="A4" s="20" t="s">
        <v>582</v>
      </c>
      <c r="B4" s="15" t="s">
        <v>583</v>
      </c>
      <c r="C4" s="21" t="s">
        <v>584</v>
      </c>
    </row>
    <row r="5" spans="1:3" ht="32.4" customHeight="1" thickBot="1" x14ac:dyDescent="0.35">
      <c r="A5" s="20" t="s">
        <v>585</v>
      </c>
      <c r="B5" s="15" t="s">
        <v>586</v>
      </c>
      <c r="C5" s="21" t="s">
        <v>587</v>
      </c>
    </row>
    <row r="6" spans="1:3" ht="32.4" customHeight="1" thickBot="1" x14ac:dyDescent="0.35">
      <c r="A6" s="20" t="s">
        <v>588</v>
      </c>
      <c r="B6" s="15" t="s">
        <v>589</v>
      </c>
      <c r="C6" s="21" t="s">
        <v>590</v>
      </c>
    </row>
    <row r="7" spans="1:3" ht="32.4" customHeight="1" thickBot="1" x14ac:dyDescent="0.35">
      <c r="A7" s="20" t="s">
        <v>591</v>
      </c>
      <c r="B7" s="15" t="s">
        <v>515</v>
      </c>
      <c r="C7" s="21" t="s">
        <v>592</v>
      </c>
    </row>
    <row r="8" spans="1:3" ht="32.4" customHeight="1" thickBot="1" x14ac:dyDescent="0.35">
      <c r="A8" s="20" t="s">
        <v>593</v>
      </c>
      <c r="B8" s="15" t="s">
        <v>517</v>
      </c>
      <c r="C8" s="21" t="s">
        <v>594</v>
      </c>
    </row>
    <row r="9" spans="1:3" ht="32.4" customHeight="1" thickBot="1" x14ac:dyDescent="0.35">
      <c r="A9" s="20" t="s">
        <v>595</v>
      </c>
      <c r="B9" s="15" t="s">
        <v>596</v>
      </c>
      <c r="C9" s="21" t="s">
        <v>597</v>
      </c>
    </row>
    <row r="10" spans="1:3" ht="32.4" customHeight="1" x14ac:dyDescent="0.3">
      <c r="A10" s="25" t="s">
        <v>598</v>
      </c>
      <c r="B10" s="26" t="s">
        <v>525</v>
      </c>
      <c r="C10" s="27" t="s">
        <v>599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7D25B-3E84-4724-89C1-0588ABF55A87}">
  <dimension ref="A1:C17"/>
  <sheetViews>
    <sheetView workbookViewId="0">
      <selection activeCell="B7" sqref="B7"/>
    </sheetView>
  </sheetViews>
  <sheetFormatPr defaultRowHeight="16.8" x14ac:dyDescent="0.3"/>
  <cols>
    <col min="1" max="1" width="21.6640625" style="19" customWidth="1"/>
    <col min="2" max="2" width="65.21875" style="18" customWidth="1"/>
    <col min="3" max="3" width="22" style="19" customWidth="1"/>
    <col min="4" max="16384" width="8.88671875" style="18"/>
  </cols>
  <sheetData>
    <row r="1" spans="1:3" s="16" customFormat="1" ht="39" customHeight="1" x14ac:dyDescent="0.3">
      <c r="A1" s="54" t="s">
        <v>526</v>
      </c>
      <c r="B1" s="55" t="s">
        <v>527</v>
      </c>
      <c r="C1" s="56" t="s">
        <v>528</v>
      </c>
    </row>
    <row r="2" spans="1:3" ht="31.2" customHeight="1" x14ac:dyDescent="0.3">
      <c r="A2" s="28" t="s">
        <v>529</v>
      </c>
      <c r="B2" s="17" t="s">
        <v>530</v>
      </c>
      <c r="C2" s="29" t="s">
        <v>531</v>
      </c>
    </row>
    <row r="3" spans="1:3" ht="31.2" customHeight="1" x14ac:dyDescent="0.3">
      <c r="A3" s="28" t="s">
        <v>532</v>
      </c>
      <c r="B3" s="17" t="s">
        <v>533</v>
      </c>
      <c r="C3" s="29" t="s">
        <v>534</v>
      </c>
    </row>
    <row r="4" spans="1:3" ht="31.2" customHeight="1" x14ac:dyDescent="0.3">
      <c r="A4" s="28" t="s">
        <v>650</v>
      </c>
      <c r="B4" s="17" t="s">
        <v>537</v>
      </c>
      <c r="C4" s="29" t="s">
        <v>535</v>
      </c>
    </row>
    <row r="5" spans="1:3" ht="31.2" customHeight="1" x14ac:dyDescent="0.3">
      <c r="A5" s="28" t="s">
        <v>536</v>
      </c>
      <c r="B5" s="17" t="s">
        <v>538</v>
      </c>
      <c r="C5" s="29" t="s">
        <v>535</v>
      </c>
    </row>
    <row r="6" spans="1:3" ht="31.2" customHeight="1" x14ac:dyDescent="0.3">
      <c r="A6" s="104"/>
      <c r="B6" s="105"/>
      <c r="C6" s="29" t="s">
        <v>535</v>
      </c>
    </row>
    <row r="7" spans="1:3" ht="31.2" customHeight="1" x14ac:dyDescent="0.3">
      <c r="A7" s="104"/>
      <c r="B7" s="105"/>
      <c r="C7" s="29" t="s">
        <v>535</v>
      </c>
    </row>
    <row r="8" spans="1:3" ht="31.2" customHeight="1" x14ac:dyDescent="0.3">
      <c r="A8" s="104"/>
      <c r="B8" s="105"/>
      <c r="C8" s="29" t="s">
        <v>535</v>
      </c>
    </row>
    <row r="9" spans="1:3" ht="31.2" customHeight="1" x14ac:dyDescent="0.3">
      <c r="A9" s="104"/>
      <c r="B9" s="105"/>
      <c r="C9" s="29" t="s">
        <v>535</v>
      </c>
    </row>
    <row r="10" spans="1:3" ht="31.2" customHeight="1" x14ac:dyDescent="0.3">
      <c r="A10" s="104"/>
      <c r="B10" s="105"/>
      <c r="C10" s="29" t="s">
        <v>535</v>
      </c>
    </row>
    <row r="11" spans="1:3" ht="31.2" customHeight="1" x14ac:dyDescent="0.3">
      <c r="A11" s="104"/>
      <c r="B11" s="105"/>
      <c r="C11" s="29" t="s">
        <v>535</v>
      </c>
    </row>
    <row r="12" spans="1:3" ht="31.2" customHeight="1" x14ac:dyDescent="0.3">
      <c r="A12" s="104"/>
      <c r="B12" s="105"/>
      <c r="C12" s="29" t="s">
        <v>535</v>
      </c>
    </row>
    <row r="13" spans="1:3" ht="31.2" customHeight="1" x14ac:dyDescent="0.3">
      <c r="A13" s="104"/>
      <c r="B13" s="105"/>
      <c r="C13" s="29" t="s">
        <v>535</v>
      </c>
    </row>
    <row r="14" spans="1:3" ht="31.2" customHeight="1" x14ac:dyDescent="0.3">
      <c r="A14" s="104"/>
      <c r="B14" s="105"/>
      <c r="C14" s="29" t="s">
        <v>535</v>
      </c>
    </row>
    <row r="15" spans="1:3" ht="31.2" customHeight="1" x14ac:dyDescent="0.3">
      <c r="A15" s="104"/>
      <c r="B15" s="105"/>
      <c r="C15" s="29" t="s">
        <v>535</v>
      </c>
    </row>
    <row r="16" spans="1:3" ht="31.2" customHeight="1" x14ac:dyDescent="0.3">
      <c r="A16" s="104"/>
      <c r="B16" s="105"/>
      <c r="C16" s="29" t="s">
        <v>535</v>
      </c>
    </row>
    <row r="17" spans="1:3" ht="31.2" customHeight="1" x14ac:dyDescent="0.3">
      <c r="A17" s="106"/>
      <c r="B17" s="107"/>
      <c r="C17" s="29" t="s">
        <v>535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7DB1-2859-42F3-85A9-0FC839298506}">
  <dimension ref="A1:D9"/>
  <sheetViews>
    <sheetView workbookViewId="0">
      <selection activeCell="B2" sqref="B2:D9"/>
    </sheetView>
  </sheetViews>
  <sheetFormatPr defaultRowHeight="17.399999999999999" x14ac:dyDescent="0.3"/>
  <cols>
    <col min="1" max="1" width="21.109375" style="11" customWidth="1"/>
    <col min="2" max="2" width="33.21875" style="10" customWidth="1"/>
    <col min="3" max="3" width="45" style="10" customWidth="1"/>
    <col min="4" max="4" width="22.88671875" style="11" customWidth="1"/>
    <col min="5" max="5" width="21.109375" style="10" customWidth="1"/>
    <col min="6" max="16384" width="8.88671875" style="10"/>
  </cols>
  <sheetData>
    <row r="1" spans="1:4" x14ac:dyDescent="0.3">
      <c r="A1" s="32" t="s">
        <v>539</v>
      </c>
      <c r="B1" s="33" t="s">
        <v>540</v>
      </c>
      <c r="C1" s="33" t="s">
        <v>541</v>
      </c>
      <c r="D1" s="34" t="s">
        <v>542</v>
      </c>
    </row>
    <row r="2" spans="1:4" ht="34.799999999999997" customHeight="1" x14ac:dyDescent="0.3">
      <c r="A2" s="30" t="s">
        <v>543</v>
      </c>
      <c r="B2" s="12" t="s">
        <v>544</v>
      </c>
      <c r="C2" s="12" t="s">
        <v>545</v>
      </c>
      <c r="D2" s="31">
        <v>1</v>
      </c>
    </row>
    <row r="3" spans="1:4" ht="34.799999999999997" customHeight="1" x14ac:dyDescent="0.3">
      <c r="A3" s="30" t="s">
        <v>17</v>
      </c>
      <c r="B3" s="12" t="s">
        <v>546</v>
      </c>
      <c r="C3" s="12" t="s">
        <v>547</v>
      </c>
      <c r="D3" s="31">
        <v>2</v>
      </c>
    </row>
    <row r="4" spans="1:4" ht="34.799999999999997" customHeight="1" x14ac:dyDescent="0.3">
      <c r="A4" s="30" t="s">
        <v>53</v>
      </c>
      <c r="B4" s="12" t="s">
        <v>548</v>
      </c>
      <c r="C4" s="12" t="s">
        <v>547</v>
      </c>
      <c r="D4" s="31">
        <v>3</v>
      </c>
    </row>
    <row r="5" spans="1:4" ht="34.799999999999997" customHeight="1" x14ac:dyDescent="0.3">
      <c r="A5" s="30" t="s">
        <v>549</v>
      </c>
      <c r="B5" s="12" t="s">
        <v>550</v>
      </c>
      <c r="C5" s="12" t="s">
        <v>551</v>
      </c>
      <c r="D5" s="31">
        <v>4</v>
      </c>
    </row>
    <row r="6" spans="1:4" ht="34.799999999999997" customHeight="1" x14ac:dyDescent="0.3">
      <c r="A6" s="30" t="s">
        <v>155</v>
      </c>
      <c r="B6" s="12" t="s">
        <v>552</v>
      </c>
      <c r="C6" s="12" t="s">
        <v>553</v>
      </c>
      <c r="D6" s="31">
        <v>5</v>
      </c>
    </row>
    <row r="7" spans="1:4" ht="34.799999999999997" customHeight="1" x14ac:dyDescent="0.3">
      <c r="A7" s="30" t="s">
        <v>554</v>
      </c>
      <c r="B7" s="12" t="s">
        <v>555</v>
      </c>
      <c r="C7" s="12" t="s">
        <v>553</v>
      </c>
      <c r="D7" s="31">
        <v>6</v>
      </c>
    </row>
    <row r="8" spans="1:4" ht="34.799999999999997" customHeight="1" x14ac:dyDescent="0.3">
      <c r="A8" s="30" t="s">
        <v>556</v>
      </c>
      <c r="B8" s="12" t="s">
        <v>557</v>
      </c>
      <c r="C8" s="12" t="s">
        <v>558</v>
      </c>
      <c r="D8" s="31">
        <v>7</v>
      </c>
    </row>
    <row r="9" spans="1:4" ht="34.799999999999997" customHeight="1" x14ac:dyDescent="0.3">
      <c r="A9" s="35" t="s">
        <v>559</v>
      </c>
      <c r="B9" s="36" t="s">
        <v>560</v>
      </c>
      <c r="C9" s="36"/>
      <c r="D9" s="37">
        <v>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6CB9-CBD2-46C6-BF48-42E264EC6728}">
  <dimension ref="A1:D8"/>
  <sheetViews>
    <sheetView workbookViewId="0">
      <selection activeCell="H7" sqref="H7"/>
    </sheetView>
  </sheetViews>
  <sheetFormatPr defaultRowHeight="14.4" x14ac:dyDescent="0.3"/>
  <cols>
    <col min="1" max="1" width="13" customWidth="1"/>
    <col min="2" max="2" width="17.77734375" customWidth="1"/>
    <col min="3" max="3" width="45.5546875" customWidth="1"/>
    <col min="4" max="4" width="33.5546875" style="9" customWidth="1"/>
  </cols>
  <sheetData>
    <row r="1" spans="1:4" ht="41.4" customHeight="1" x14ac:dyDescent="0.3">
      <c r="A1" s="59" t="s">
        <v>649</v>
      </c>
      <c r="B1" s="60" t="s">
        <v>540</v>
      </c>
      <c r="C1" s="60" t="s">
        <v>541</v>
      </c>
      <c r="D1" s="60" t="s">
        <v>542</v>
      </c>
    </row>
    <row r="2" spans="1:4" ht="31.2" customHeight="1" x14ac:dyDescent="0.3">
      <c r="A2" s="30" t="s">
        <v>561</v>
      </c>
      <c r="B2" s="58" t="s">
        <v>562</v>
      </c>
      <c r="C2" s="58" t="s">
        <v>563</v>
      </c>
      <c r="D2" s="37">
        <v>1</v>
      </c>
    </row>
    <row r="3" spans="1:4" ht="31.2" customHeight="1" x14ac:dyDescent="0.3">
      <c r="A3" s="30" t="s">
        <v>564</v>
      </c>
      <c r="B3" s="58" t="s">
        <v>565</v>
      </c>
      <c r="C3" s="58" t="s">
        <v>566</v>
      </c>
      <c r="D3" s="37">
        <v>2</v>
      </c>
    </row>
    <row r="4" spans="1:4" ht="31.2" customHeight="1" x14ac:dyDescent="0.3">
      <c r="A4" s="30" t="s">
        <v>216</v>
      </c>
      <c r="B4" s="58" t="s">
        <v>567</v>
      </c>
      <c r="C4" s="58" t="s">
        <v>568</v>
      </c>
      <c r="D4" s="37">
        <v>3</v>
      </c>
    </row>
    <row r="5" spans="1:4" ht="31.2" customHeight="1" x14ac:dyDescent="0.3">
      <c r="A5" s="30" t="s">
        <v>203</v>
      </c>
      <c r="B5" s="58" t="s">
        <v>569</v>
      </c>
      <c r="C5" s="58" t="s">
        <v>570</v>
      </c>
      <c r="D5" s="37">
        <v>4</v>
      </c>
    </row>
    <row r="6" spans="1:4" ht="31.2" customHeight="1" x14ac:dyDescent="0.3">
      <c r="A6" s="30" t="s">
        <v>206</v>
      </c>
      <c r="B6" s="58" t="s">
        <v>571</v>
      </c>
      <c r="C6" s="58" t="s">
        <v>572</v>
      </c>
      <c r="D6" s="37">
        <v>5</v>
      </c>
    </row>
    <row r="7" spans="1:4" ht="31.2" customHeight="1" x14ac:dyDescent="0.3">
      <c r="A7" s="30" t="s">
        <v>372</v>
      </c>
      <c r="B7" s="58" t="s">
        <v>573</v>
      </c>
      <c r="C7" s="58" t="s">
        <v>574</v>
      </c>
      <c r="D7" s="37">
        <v>6</v>
      </c>
    </row>
    <row r="8" spans="1:4" ht="31.2" customHeight="1" x14ac:dyDescent="0.3">
      <c r="A8" s="35" t="s">
        <v>332</v>
      </c>
      <c r="B8" s="58" t="s">
        <v>365</v>
      </c>
      <c r="C8" s="58" t="s">
        <v>362</v>
      </c>
      <c r="D8" s="37">
        <v>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D09C-2124-4B6C-9428-7A580E78EE01}">
  <dimension ref="A1:D7"/>
  <sheetViews>
    <sheetView workbookViewId="0">
      <selection activeCell="A2" sqref="A2"/>
    </sheetView>
  </sheetViews>
  <sheetFormatPr defaultRowHeight="14.4" x14ac:dyDescent="0.3"/>
  <cols>
    <col min="1" max="1" width="19.44140625" style="9" customWidth="1"/>
    <col min="2" max="2" width="23.88671875" customWidth="1"/>
    <col min="3" max="3" width="45.5546875" customWidth="1"/>
    <col min="4" max="4" width="26" bestFit="1" customWidth="1"/>
  </cols>
  <sheetData>
    <row r="1" spans="1:4" ht="34.799999999999997" customHeight="1" x14ac:dyDescent="0.3">
      <c r="A1" s="57" t="s">
        <v>639</v>
      </c>
      <c r="B1" s="57" t="s">
        <v>640</v>
      </c>
      <c r="C1" s="61" t="s">
        <v>541</v>
      </c>
      <c r="D1" s="62" t="s">
        <v>542</v>
      </c>
    </row>
    <row r="2" spans="1:4" ht="43.2" customHeight="1" x14ac:dyDescent="0.3">
      <c r="A2" s="30" t="s">
        <v>629</v>
      </c>
      <c r="B2" s="63" t="s">
        <v>641</v>
      </c>
      <c r="C2" s="12" t="s">
        <v>633</v>
      </c>
      <c r="D2" s="31">
        <v>1</v>
      </c>
    </row>
    <row r="3" spans="1:4" ht="43.2" customHeight="1" x14ac:dyDescent="0.3">
      <c r="A3" s="30" t="s">
        <v>630</v>
      </c>
      <c r="B3" s="63" t="s">
        <v>642</v>
      </c>
      <c r="C3" s="12" t="s">
        <v>631</v>
      </c>
      <c r="D3" s="31">
        <v>2</v>
      </c>
    </row>
    <row r="4" spans="1:4" ht="53.4" customHeight="1" x14ac:dyDescent="0.3">
      <c r="A4" s="30" t="s">
        <v>634</v>
      </c>
      <c r="B4" s="63" t="s">
        <v>644</v>
      </c>
      <c r="C4" s="12" t="s">
        <v>637</v>
      </c>
      <c r="D4" s="31">
        <v>3</v>
      </c>
    </row>
    <row r="5" spans="1:4" ht="43.2" customHeight="1" x14ac:dyDescent="0.3">
      <c r="A5" s="30" t="s">
        <v>635</v>
      </c>
      <c r="B5" s="63" t="s">
        <v>643</v>
      </c>
      <c r="C5" s="12" t="s">
        <v>636</v>
      </c>
      <c r="D5" s="31">
        <v>4</v>
      </c>
    </row>
    <row r="6" spans="1:4" ht="43.2" customHeight="1" x14ac:dyDescent="0.3">
      <c r="A6" s="30" t="s">
        <v>632</v>
      </c>
      <c r="B6" s="63" t="s">
        <v>645</v>
      </c>
      <c r="C6" s="12" t="s">
        <v>638</v>
      </c>
      <c r="D6" s="31">
        <v>5</v>
      </c>
    </row>
    <row r="7" spans="1:4" ht="43.2" customHeight="1" x14ac:dyDescent="0.3">
      <c r="A7" s="30" t="s">
        <v>648</v>
      </c>
      <c r="B7" s="63" t="s">
        <v>646</v>
      </c>
      <c r="C7" s="12" t="s">
        <v>647</v>
      </c>
      <c r="D7" s="31">
        <v>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1767-F5C3-4379-96AD-DACE03300692}">
  <dimension ref="A1:C10"/>
  <sheetViews>
    <sheetView zoomScale="115" zoomScaleNormal="115" workbookViewId="0">
      <selection activeCell="E6" sqref="E6"/>
    </sheetView>
  </sheetViews>
  <sheetFormatPr defaultRowHeight="14.4" x14ac:dyDescent="0.3"/>
  <cols>
    <col min="1" max="1" width="29.5546875" customWidth="1"/>
    <col min="2" max="2" width="25.44140625" customWidth="1"/>
    <col min="3" max="3" width="122.33203125" style="50" customWidth="1"/>
  </cols>
  <sheetData>
    <row r="1" spans="1:3" ht="38.4" customHeight="1" x14ac:dyDescent="0.3">
      <c r="A1" s="52" t="s">
        <v>0</v>
      </c>
      <c r="B1" s="52" t="s">
        <v>1</v>
      </c>
      <c r="C1" s="53" t="s">
        <v>619</v>
      </c>
    </row>
    <row r="2" spans="1:3" ht="66" x14ac:dyDescent="0.3">
      <c r="A2" s="47" t="s">
        <v>15</v>
      </c>
      <c r="B2" s="47" t="s">
        <v>16</v>
      </c>
      <c r="C2" s="51" t="s">
        <v>622</v>
      </c>
    </row>
    <row r="3" spans="1:3" ht="132" x14ac:dyDescent="0.3">
      <c r="A3" s="48" t="s">
        <v>20</v>
      </c>
      <c r="B3" s="48" t="s">
        <v>21</v>
      </c>
      <c r="C3" s="49" t="s">
        <v>621</v>
      </c>
    </row>
    <row r="4" spans="1:3" ht="79.2" x14ac:dyDescent="0.3">
      <c r="A4" s="47" t="s">
        <v>24</v>
      </c>
      <c r="B4" s="47" t="s">
        <v>25</v>
      </c>
      <c r="C4" s="51" t="s">
        <v>624</v>
      </c>
    </row>
    <row r="5" spans="1:3" ht="52.8" x14ac:dyDescent="0.3">
      <c r="A5" s="48" t="s">
        <v>28</v>
      </c>
      <c r="B5" s="48" t="s">
        <v>29</v>
      </c>
      <c r="C5" s="49" t="s">
        <v>623</v>
      </c>
    </row>
    <row r="6" spans="1:3" ht="52.8" x14ac:dyDescent="0.3">
      <c r="A6" s="47" t="s">
        <v>32</v>
      </c>
      <c r="B6" s="47" t="s">
        <v>33</v>
      </c>
      <c r="C6" s="51" t="s">
        <v>626</v>
      </c>
    </row>
    <row r="7" spans="1:3" ht="105.6" x14ac:dyDescent="0.3">
      <c r="A7" s="48" t="s">
        <v>36</v>
      </c>
      <c r="B7" s="48" t="s">
        <v>37</v>
      </c>
      <c r="C7" s="49" t="s">
        <v>620</v>
      </c>
    </row>
    <row r="8" spans="1:3" ht="52.8" x14ac:dyDescent="0.3">
      <c r="A8" s="47" t="s">
        <v>40</v>
      </c>
      <c r="B8" s="47" t="s">
        <v>41</v>
      </c>
      <c r="C8" s="51" t="s">
        <v>627</v>
      </c>
    </row>
    <row r="9" spans="1:3" ht="52.8" x14ac:dyDescent="0.3">
      <c r="A9" s="48" t="s">
        <v>44</v>
      </c>
      <c r="B9" s="48" t="s">
        <v>45</v>
      </c>
      <c r="C9" s="49" t="s">
        <v>628</v>
      </c>
    </row>
    <row r="10" spans="1:3" ht="66" x14ac:dyDescent="0.3">
      <c r="A10" s="47" t="s">
        <v>47</v>
      </c>
      <c r="B10" s="47" t="s">
        <v>48</v>
      </c>
      <c r="C10" s="51" t="s">
        <v>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TuyenDuong</vt:lpstr>
      <vt:lpstr>DoanTuyen</vt:lpstr>
      <vt:lpstr>DoanDiChung</vt:lpstr>
      <vt:lpstr>TinhTrang</vt:lpstr>
      <vt:lpstr>DonVi</vt:lpstr>
      <vt:lpstr>CapQuanLy</vt:lpstr>
      <vt:lpstr>CapDuong</vt:lpstr>
      <vt:lpstr>KetCauMat</vt:lpstr>
      <vt:lpstr>ThongTinTuyen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Văn Hữu Thành</cp:lastModifiedBy>
  <dcterms:created xsi:type="dcterms:W3CDTF">2026-03-04T08:17:38Z</dcterms:created>
  <dcterms:modified xsi:type="dcterms:W3CDTF">2026-03-05T08:28:09Z</dcterms:modified>
</cp:coreProperties>
</file>